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E:\Data Analytics\Unlock Excel VBA &amp; Excel Macro-Udemy\Practiced files\Sales reporting\"/>
    </mc:Choice>
  </mc:AlternateContent>
  <xr:revisionPtr revIDLastSave="0" documentId="13_ncr:1_{747A477F-59BD-41FD-8B62-4F5E745567F6}" xr6:coauthVersionLast="47" xr6:coauthVersionMax="47" xr10:uidLastSave="{00000000-0000-0000-0000-000000000000}"/>
  <bookViews>
    <workbookView xWindow="-120" yWindow="-120" windowWidth="20730" windowHeight="11160" xr2:uid="{00000000-000D-0000-FFFF-FFFF00000000}"/>
  </bookViews>
  <sheets>
    <sheet name="Start" sheetId="6" r:id="rId1"/>
    <sheet name="Summary" sheetId="3" r:id="rId2"/>
    <sheet name="RegionTemp" sheetId="7" r:id="rId3"/>
    <sheet name="Map" sheetId="2" r:id="rId4"/>
    <sheet name="NewData" sheetId="4" r:id="rId5"/>
    <sheet name="Instructions" sheetId="11" r:id="rId6"/>
  </sheets>
  <definedNames>
    <definedName name="_xlnm._FilterDatabase" localSheetId="1" hidden="1">Summary!$A$1:$H$85</definedName>
    <definedName name="MRegion">Map!$G$9:$G$10</definedName>
    <definedName name="Slicer_Company_Name">#N/A</definedName>
  </definedNames>
  <calcPr calcId="191029"/>
  <pivotCaches>
    <pivotCache cacheId="1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 i="7" l="1"/>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J4" i="7"/>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M4" i="7"/>
  <c r="M5" i="7"/>
  <c r="M6" i="7"/>
  <c r="M7"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I3" i="7"/>
  <c r="J3" i="7"/>
  <c r="K3" i="7"/>
  <c r="L3" i="7"/>
  <c r="M3" i="7" s="1"/>
  <c r="L2" i="7" l="1"/>
  <c r="M2" i="7" s="1"/>
  <c r="K2" i="7"/>
  <c r="J2" i="7"/>
  <c r="I2" i="7"/>
</calcChain>
</file>

<file path=xl/sharedStrings.xml><?xml version="1.0" encoding="utf-8"?>
<sst xmlns="http://schemas.openxmlformats.org/spreadsheetml/2006/main" count="351" uniqueCount="134">
  <si>
    <t>Description</t>
  </si>
  <si>
    <t>USD</t>
  </si>
  <si>
    <t>Sales Document</t>
  </si>
  <si>
    <t>Currency</t>
  </si>
  <si>
    <t>Women crop top black</t>
  </si>
  <si>
    <t>Men basics</t>
  </si>
  <si>
    <t>Men type T simple white</t>
  </si>
  <si>
    <t>Men type T simple black</t>
  </si>
  <si>
    <t>Women type T simple white</t>
  </si>
  <si>
    <t>Women type T simple black</t>
  </si>
  <si>
    <t>Women basics</t>
  </si>
  <si>
    <t>Laptop bag black</t>
  </si>
  <si>
    <t>Laptop bag red</t>
  </si>
  <si>
    <t>Smartphone case diamond</t>
  </si>
  <si>
    <t>Smartphone case simple</t>
  </si>
  <si>
    <t>Men dress shirt white</t>
  </si>
  <si>
    <t>Men dress shirt black</t>
  </si>
  <si>
    <t>Men dress shirt grey</t>
  </si>
  <si>
    <t>Unisex tank top black</t>
  </si>
  <si>
    <t>Unisex tank top white</t>
  </si>
  <si>
    <t>Men shorts grey</t>
  </si>
  <si>
    <t>Men shorts black</t>
  </si>
  <si>
    <t>Women evening dress long black</t>
  </si>
  <si>
    <t>Women evening dress Cocktail red</t>
  </si>
  <si>
    <t>Master Data &amp;</t>
  </si>
  <si>
    <t>Mapping Table</t>
  </si>
  <si>
    <t>Article Number Mapping</t>
  </si>
  <si>
    <t>Company Mapping</t>
  </si>
  <si>
    <t>1010US</t>
  </si>
  <si>
    <t>1020US</t>
  </si>
  <si>
    <t>1030AT</t>
  </si>
  <si>
    <t>1040DE</t>
  </si>
  <si>
    <t>Urban Right</t>
  </si>
  <si>
    <t>Lucas Basics</t>
  </si>
  <si>
    <t>Bere Kleid</t>
  </si>
  <si>
    <t>Company Name</t>
  </si>
  <si>
    <t>Ship to Party Mapping</t>
  </si>
  <si>
    <t>Month</t>
  </si>
  <si>
    <t>EUR</t>
  </si>
  <si>
    <t>Company ID</t>
  </si>
  <si>
    <t>Document Date</t>
  </si>
  <si>
    <t>Quantity</t>
  </si>
  <si>
    <t>Reject</t>
  </si>
  <si>
    <t>Customer Name</t>
  </si>
  <si>
    <t>Dellicia</t>
  </si>
  <si>
    <t>Meta Creations</t>
  </si>
  <si>
    <t>Erma</t>
  </si>
  <si>
    <t>Edson</t>
  </si>
  <si>
    <t>Customer code</t>
  </si>
  <si>
    <t>Company code</t>
  </si>
  <si>
    <t>EUR to $</t>
  </si>
  <si>
    <t>Article code</t>
  </si>
  <si>
    <t>Region</t>
  </si>
  <si>
    <t>America</t>
  </si>
  <si>
    <t>Europe</t>
  </si>
  <si>
    <t>Aim of the tool</t>
  </si>
  <si>
    <t>Your Challenge</t>
  </si>
  <si>
    <t>Regions</t>
  </si>
  <si>
    <t>Werner Strauss</t>
  </si>
  <si>
    <t>Aida GmbH</t>
  </si>
  <si>
    <t>Liebher</t>
  </si>
  <si>
    <t>• An interactive Pivot based regional report for the regional managers of USA and Europe</t>
  </si>
  <si>
    <t>2. The data extract you receive uses codes. The managers want to see the description and not the code.</t>
  </si>
  <si>
    <t>3. You need to combine the data for each region and create a separate Excel report for it.</t>
  </si>
  <si>
    <t>6. You need to split each region to it's own file. European Regional managers should not see the US data</t>
  </si>
  <si>
    <t>7. You need to get all the data in CSV format and save it on the directory.</t>
  </si>
  <si>
    <t>5. Top management would like to have a one-pager report that is hardcoded (macro free workbook).</t>
  </si>
  <si>
    <t>4. Regional managers would like to have Pivot based reports so they can slice and dice through the information (macro free workbook).</t>
  </si>
  <si>
    <t xml:space="preserve">8. Since these are a lot of tasks, and data for each company might come in at different points, you'd like to keep track </t>
  </si>
  <si>
    <t>of which tasks you've already completed.</t>
  </si>
  <si>
    <t>Imagine this Situation…</t>
  </si>
  <si>
    <t xml:space="preserve">There is a lot of copying, pasting, looking up values from master data (i.e. mapping codes to get descriptions). </t>
  </si>
  <si>
    <t>The tool should automate the entire process to 2 minutes - even with data changes.</t>
  </si>
  <si>
    <t>… and sometimes you might make mistakes…. (after all the task is a bit boring…)</t>
  </si>
  <si>
    <r>
      <t xml:space="preserve">Possibility of manual mistakes due to boredom: </t>
    </r>
    <r>
      <rPr>
        <sz val="11"/>
        <color rgb="FF92D050"/>
        <rFont val="Arial"/>
        <family val="2"/>
        <scheme val="minor"/>
      </rPr>
      <t>Eliminated</t>
    </r>
  </si>
  <si>
    <r>
      <t xml:space="preserve">Frustration because data was updated after sending (you had to repeat the process): </t>
    </r>
    <r>
      <rPr>
        <sz val="11"/>
        <color rgb="FF92D050"/>
        <rFont val="Arial"/>
        <family val="2"/>
        <scheme val="minor"/>
      </rPr>
      <t>Eliminated</t>
    </r>
  </si>
  <si>
    <t>- You are a Sales Controller working at the headquarters of Urban Creations.</t>
  </si>
  <si>
    <t>- Urban Creations owns 4 companies. 2 are in the USA and 2 are in Europe.</t>
  </si>
  <si>
    <t>- At the end of each month you receive system extracts for each company that covers some key sales &amp; customer parameters.</t>
  </si>
  <si>
    <t>1. There are two USA and two European companies. You need to get all the information in one place.</t>
  </si>
  <si>
    <t>Average monthly exchange rates</t>
  </si>
  <si>
    <t>• A hard coded regional overview report for top management</t>
  </si>
  <si>
    <t>- In addition to this, you need to generate a CSV file of all the data to be loaded to your central ERP system for year-to-date reporting.</t>
  </si>
  <si>
    <t>- Based on this data, you need to create the following Monthly Reports:</t>
  </si>
  <si>
    <t>1. First import data 1-to-1 to NewData tab</t>
  </si>
  <si>
    <t>3. Copy and paste the required column from NewData in Summary tab</t>
  </si>
  <si>
    <t>2. Use Find function to find the matching header from Summary tab in NewData tab</t>
  </si>
  <si>
    <r>
      <t>Time savings:</t>
    </r>
    <r>
      <rPr>
        <sz val="11"/>
        <color rgb="FF92D050"/>
        <rFont val="Arial"/>
        <family val="2"/>
        <scheme val="minor"/>
      </rPr>
      <t xml:space="preserve"> 4 plus hours</t>
    </r>
  </si>
  <si>
    <t>All of this will cost you a lot of time if done manually (possibly around 4 hours - plus data changes are not uncommon)</t>
  </si>
  <si>
    <t>Sometimes you have to repeat the whole process because wrong data was sent;</t>
  </si>
  <si>
    <t>z</t>
  </si>
  <si>
    <t/>
  </si>
  <si>
    <t>Sales Local currency</t>
  </si>
  <si>
    <t>Customer name</t>
  </si>
  <si>
    <t>Article Description</t>
  </si>
  <si>
    <t>Sales in US dollars</t>
  </si>
  <si>
    <t>Grand Total</t>
  </si>
  <si>
    <t>Regional sales by customer</t>
  </si>
  <si>
    <t>Customer</t>
  </si>
  <si>
    <t>Sales $</t>
  </si>
  <si>
    <t>Article Overview by company</t>
  </si>
  <si>
    <t>Article</t>
  </si>
  <si>
    <t>QuantityB</t>
  </si>
  <si>
    <t>Rejects</t>
  </si>
  <si>
    <t>Rejects %</t>
  </si>
  <si>
    <t>Regional Overview</t>
  </si>
  <si>
    <t>Company</t>
  </si>
  <si>
    <t>Tasks completed</t>
  </si>
  <si>
    <t>Files imported</t>
  </si>
  <si>
    <t>password</t>
  </si>
  <si>
    <t>me</t>
  </si>
  <si>
    <t>import</t>
  </si>
  <si>
    <t>activex</t>
  </si>
  <si>
    <t>create report</t>
  </si>
  <si>
    <t>create csv</t>
  </si>
  <si>
    <t>clear</t>
  </si>
  <si>
    <t>admin</t>
  </si>
  <si>
    <t>Sales value</t>
  </si>
  <si>
    <t>Internal code</t>
  </si>
  <si>
    <t>Sales Value</t>
  </si>
  <si>
    <t>C11</t>
  </si>
  <si>
    <t>C14</t>
  </si>
  <si>
    <t>C19</t>
  </si>
  <si>
    <t>C18</t>
  </si>
  <si>
    <t>C10</t>
  </si>
  <si>
    <t>C17</t>
  </si>
  <si>
    <t>C13</t>
  </si>
  <si>
    <t>C16</t>
  </si>
  <si>
    <t>C12</t>
  </si>
  <si>
    <t>C20</t>
  </si>
  <si>
    <t>C15</t>
  </si>
  <si>
    <t>Erma Total</t>
  </si>
  <si>
    <t>Dellicia Total</t>
  </si>
  <si>
    <t>Urban Right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</si>
</sst>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0.00"/>
  </numFmts>
  <fonts count="14" x14ac:knownFonts="1">
    <font>
      <sz val="10"/>
      <color theme="1"/>
      <name val="Arial"/>
      <family val="2"/>
      <scheme val="minor"/>
    </font>
    <font>
      <sz val="11"/>
      <color theme="1"/>
      <name val="Arial"/>
      <family val="2"/>
      <scheme val="minor"/>
    </font>
    <font>
      <sz val="11"/>
      <color theme="1"/>
      <name val="Arial"/>
      <family val="2"/>
      <scheme val="minor"/>
    </font>
    <font>
      <sz val="8"/>
      <color theme="1"/>
      <name val="Arial"/>
      <family val="2"/>
    </font>
    <font>
      <b/>
      <sz val="11"/>
      <color theme="0"/>
      <name val="Arial"/>
      <family val="2"/>
      <scheme val="minor"/>
    </font>
    <font>
      <b/>
      <sz val="11"/>
      <name val="Arial"/>
      <family val="2"/>
      <scheme val="minor"/>
    </font>
    <font>
      <sz val="10"/>
      <color rgb="FFA31515"/>
      <name val="Consolas"/>
      <family val="3"/>
    </font>
    <font>
      <sz val="10"/>
      <color theme="1"/>
      <name val="Arial"/>
      <family val="2"/>
      <scheme val="minor"/>
    </font>
    <font>
      <b/>
      <sz val="14"/>
      <color theme="1"/>
      <name val="Arial"/>
      <family val="2"/>
      <scheme val="minor"/>
    </font>
    <font>
      <sz val="10"/>
      <color theme="8" tint="-0.249977111117893"/>
      <name val="Arial"/>
      <family val="2"/>
      <scheme val="minor"/>
    </font>
    <font>
      <sz val="11"/>
      <color rgb="FF92D050"/>
      <name val="Arial"/>
      <family val="2"/>
      <scheme val="minor"/>
    </font>
    <font>
      <b/>
      <sz val="10"/>
      <color theme="1"/>
      <name val="Arial"/>
      <family val="2"/>
      <scheme val="minor"/>
    </font>
    <font>
      <b/>
      <sz val="10"/>
      <color rgb="FF002060"/>
      <name val="Arial"/>
      <family val="2"/>
      <scheme val="minor"/>
    </font>
    <font>
      <sz val="10"/>
      <color rgb="FF000000"/>
      <name val="Arial"/>
      <family val="2"/>
    </font>
  </fonts>
  <fills count="10">
    <fill>
      <patternFill patternType="none"/>
    </fill>
    <fill>
      <patternFill patternType="gray125"/>
    </fill>
    <fill>
      <patternFill patternType="solid">
        <fgColor theme="2" tint="-0.749992370372631"/>
        <bgColor indexed="64"/>
      </patternFill>
    </fill>
    <fill>
      <patternFill patternType="solid">
        <fgColor indexed="44"/>
        <bgColor indexed="64"/>
      </patternFill>
    </fill>
    <fill>
      <patternFill patternType="solid">
        <fgColor theme="3"/>
        <bgColor indexed="64"/>
      </patternFill>
    </fill>
    <fill>
      <patternFill patternType="solid">
        <fgColor theme="1" tint="0.34998626667073579"/>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5" tint="0.79998168889431442"/>
        <bgColor indexed="64"/>
      </patternFill>
    </fill>
  </fills>
  <borders count="8">
    <border>
      <left/>
      <right/>
      <top/>
      <bottom/>
      <diagonal/>
    </border>
    <border>
      <left/>
      <right/>
      <top/>
      <bottom style="thin">
        <color indexed="64"/>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theme="0" tint="-0.14993743705557422"/>
      </bottom>
      <diagonal/>
    </border>
    <border>
      <left/>
      <right/>
      <top style="thin">
        <color theme="0" tint="-0.14996795556505021"/>
      </top>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44">
    <xf numFmtId="0" fontId="0" fillId="0" borderId="0" xfId="0"/>
    <xf numFmtId="0" fontId="3" fillId="0" borderId="0" xfId="0" applyFont="1"/>
    <xf numFmtId="0" fontId="0" fillId="2" borderId="0" xfId="0" applyFill="1" applyBorder="1"/>
    <xf numFmtId="0" fontId="4" fillId="2" borderId="0" xfId="0" applyFont="1" applyFill="1" applyBorder="1"/>
    <xf numFmtId="0" fontId="0" fillId="0" borderId="1" xfId="0" applyBorder="1"/>
    <xf numFmtId="49" fontId="5" fillId="3" borderId="0" xfId="0" applyNumberFormat="1" applyFont="1" applyFill="1" applyBorder="1" applyAlignment="1">
      <alignment horizontal="left" vertical="center" wrapText="1"/>
    </xf>
    <xf numFmtId="0" fontId="4" fillId="4" borderId="2" xfId="0" applyNumberFormat="1" applyFont="1" applyFill="1" applyBorder="1" applyAlignment="1" applyProtection="1">
      <alignment horizontal="center" vertical="center" wrapText="1"/>
      <protection locked="0"/>
    </xf>
    <xf numFmtId="0" fontId="6" fillId="0" borderId="0" xfId="0" applyFont="1"/>
    <xf numFmtId="0" fontId="7" fillId="0" borderId="0" xfId="0" applyFont="1"/>
    <xf numFmtId="0" fontId="0" fillId="0" borderId="0" xfId="0" applyBorder="1"/>
    <xf numFmtId="0" fontId="0" fillId="0" borderId="0" xfId="0" applyNumberFormat="1" applyBorder="1"/>
    <xf numFmtId="0" fontId="0" fillId="5" borderId="0" xfId="0" applyFill="1"/>
    <xf numFmtId="0" fontId="0" fillId="6" borderId="2" xfId="0" applyFill="1" applyBorder="1"/>
    <xf numFmtId="0" fontId="8" fillId="6" borderId="3" xfId="0" quotePrefix="1" applyFont="1" applyFill="1" applyBorder="1"/>
    <xf numFmtId="0" fontId="8" fillId="6" borderId="3" xfId="0" applyFont="1" applyFill="1" applyBorder="1"/>
    <xf numFmtId="0" fontId="0" fillId="6" borderId="3" xfId="0" applyFill="1" applyBorder="1"/>
    <xf numFmtId="0" fontId="0" fillId="6" borderId="0" xfId="0" applyFill="1"/>
    <xf numFmtId="0" fontId="0" fillId="6" borderId="4" xfId="0" applyFill="1" applyBorder="1"/>
    <xf numFmtId="0" fontId="0" fillId="6" borderId="2" xfId="0" quotePrefix="1" applyFill="1" applyBorder="1"/>
    <xf numFmtId="0" fontId="0" fillId="6" borderId="3" xfId="0" quotePrefix="1" applyFill="1" applyBorder="1"/>
    <xf numFmtId="0" fontId="0" fillId="6" borderId="5" xfId="0" applyFill="1" applyBorder="1"/>
    <xf numFmtId="0" fontId="0" fillId="6" borderId="3" xfId="0" applyFill="1" applyBorder="1" applyAlignment="1">
      <alignment horizontal="left" indent="1"/>
    </xf>
    <xf numFmtId="0" fontId="0" fillId="6" borderId="3" xfId="0" applyFill="1" applyBorder="1" applyAlignment="1">
      <alignment horizontal="left" indent="2"/>
    </xf>
    <xf numFmtId="0" fontId="9" fillId="6" borderId="3" xfId="0" applyFont="1" applyFill="1" applyBorder="1"/>
    <xf numFmtId="0" fontId="2" fillId="6" borderId="3" xfId="0" applyFont="1" applyFill="1" applyBorder="1"/>
    <xf numFmtId="0" fontId="1" fillId="6" borderId="3" xfId="0" applyFont="1" applyFill="1" applyBorder="1"/>
    <xf numFmtId="14" fontId="7" fillId="0" borderId="0" xfId="0" applyNumberFormat="1" applyFont="1"/>
    <xf numFmtId="0" fontId="12" fillId="8" borderId="0"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11" fillId="8" borderId="0" xfId="0" applyFont="1" applyFill="1" applyBorder="1" applyAlignment="1">
      <alignment vertical="center"/>
    </xf>
    <xf numFmtId="0" fontId="12" fillId="7" borderId="0" xfId="0" applyFont="1" applyFill="1" applyBorder="1" applyAlignment="1">
      <alignment horizontal="center" vertical="center" wrapText="1"/>
    </xf>
    <xf numFmtId="0" fontId="11" fillId="8" borderId="0" xfId="0" applyFont="1" applyFill="1" applyBorder="1" applyAlignment="1">
      <alignment vertical="center" wrapText="1"/>
    </xf>
    <xf numFmtId="0" fontId="11" fillId="0" borderId="1" xfId="0" applyFont="1" applyBorder="1"/>
    <xf numFmtId="0" fontId="12" fillId="9" borderId="6" xfId="0" applyFont="1" applyFill="1" applyBorder="1" applyAlignment="1">
      <alignment horizontal="center" vertical="center" wrapText="1"/>
    </xf>
    <xf numFmtId="0" fontId="12" fillId="9" borderId="7" xfId="0" applyFont="1" applyFill="1" applyBorder="1" applyAlignment="1">
      <alignment horizontal="center" vertical="center" wrapText="1"/>
    </xf>
    <xf numFmtId="14" fontId="0" fillId="0" borderId="0" xfId="0" applyNumberFormat="1"/>
    <xf numFmtId="14" fontId="0" fillId="0" borderId="0" xfId="0" applyNumberFormat="1" applyBorder="1"/>
    <xf numFmtId="0" fontId="11" fillId="8" borderId="0" xfId="0" applyFont="1" applyFill="1" applyBorder="1" applyAlignment="1">
      <alignment horizontal="center" vertical="center"/>
    </xf>
  </cellXfs>
  <cellStyles count="1">
    <cellStyle name="Normal" xfId="0" builtinId="0" customBuiltin="1"/>
  </cellStyles>
  <dxfs count="33">
    <dxf>
      <font>
        <b val="0"/>
        <i val="0"/>
        <strike val="0"/>
        <condense val="0"/>
        <extend val="0"/>
        <outline val="0"/>
        <shadow val="0"/>
        <u val="none"/>
        <vertAlign val="baseline"/>
        <sz val="8"/>
        <color theme="1"/>
        <name val="Arial"/>
        <scheme val="none"/>
      </font>
    </dxf>
    <dxf>
      <border outline="0">
        <bottom style="medium">
          <color indexed="64"/>
        </bottom>
      </border>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numFmt numFmtId="165" formatCode="dd/mm/yyyy"/>
    </dxf>
    <dxf>
      <font>
        <b val="0"/>
        <i val="0"/>
        <strike val="0"/>
        <condense val="0"/>
        <extend val="0"/>
        <outline val="0"/>
        <shadow val="0"/>
        <u val="none"/>
        <vertAlign val="baseline"/>
        <sz val="10"/>
        <color theme="1"/>
        <name val="Arial"/>
        <scheme val="minor"/>
      </font>
    </dxf>
    <dxf>
      <font>
        <b val="0"/>
        <i val="0"/>
        <strike val="0"/>
        <condense val="0"/>
        <extend val="0"/>
        <outline val="0"/>
        <shadow val="0"/>
        <u val="none"/>
        <vertAlign val="baseline"/>
        <sz val="10"/>
        <color theme="1"/>
        <name val="Arial"/>
        <scheme val="minor"/>
      </font>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0"/>
        <color rgb="FF002060"/>
        <name val="Arial"/>
        <scheme val="minor"/>
      </font>
      <fill>
        <patternFill patternType="solid">
          <fgColor indexed="64"/>
          <bgColor theme="8" tint="0.3999755851924192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bottom style="medium">
          <color auto="1"/>
        </bottom>
      </border>
    </dxf>
    <dxf>
      <font>
        <b/>
        <color theme="1"/>
      </font>
      <border>
        <bottom style="thin">
          <color theme="6"/>
        </bottom>
        <vertical/>
        <horizontal/>
      </border>
    </dxf>
    <dxf>
      <font>
        <color theme="1"/>
      </font>
      <border diagonalUp="0" diagonalDown="0">
        <left/>
        <right/>
        <top/>
        <bottom/>
        <vertical/>
        <horizontal/>
      </border>
    </dxf>
    <dxf>
      <border>
        <top style="thin">
          <color theme="1" tint="0.499984740745262"/>
        </top>
        <bottom style="thin">
          <color theme="1" tint="0.499984740745262"/>
        </bottom>
        <vertical style="thick">
          <color theme="0"/>
        </vertical>
      </border>
    </dxf>
    <dxf>
      <border>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border>
        <top/>
        <bottom style="thin">
          <color theme="1" tint="0.499984740745262"/>
        </bottom>
      </border>
    </dxf>
    <dxf>
      <font>
        <color theme="1"/>
      </font>
      <border>
        <left style="thin">
          <color theme="0"/>
        </left>
        <right style="thin">
          <color theme="0"/>
        </right>
        <top style="thin">
          <color theme="0"/>
        </top>
        <vertical style="thick">
          <color theme="0"/>
        </vertical>
        <horizontal style="thin">
          <color theme="0" tint="-0.14999847407452621"/>
        </horizontal>
      </border>
    </dxf>
  </dxfs>
  <tableStyles count="3" defaultPivotStyle="PivotStyleLight16">
    <tableStyle name="MyPivotStyle" table="0" count="11" xr9:uid="{00000000-0011-0000-FFFF-FFFF00000000}">
      <tableStyleElement type="wholeTable" dxfId="32"/>
      <tableStyleElement type="headerRow" dxfId="31"/>
      <tableStyleElement type="totalRow" dxfId="30"/>
      <tableStyleElement type="firstRowStripe" dxfId="29"/>
      <tableStyleElement type="firstColumnStripe" dxfId="28"/>
      <tableStyleElement type="firstSubtotalRow" dxfId="27"/>
      <tableStyleElement type="secondSubtotalRow" dxfId="26"/>
      <tableStyleElement type="firstRowSubheading" dxfId="25"/>
      <tableStyleElement type="secondRowSubheading" dxfId="24"/>
      <tableStyleElement type="pageFieldLabels" dxfId="23"/>
      <tableStyleElement type="pageFieldValues" dxfId="22"/>
    </tableStyle>
    <tableStyle name="MySlicer" pivot="0" table="0" count="10" xr9:uid="{00000000-0011-0000-FFFF-FFFF01000000}">
      <tableStyleElement type="wholeTable" dxfId="21"/>
      <tableStyleElement type="headerRow" dxfId="20"/>
    </tableStyle>
    <tableStyle name="Table Style 1" pivot="0" count="1" xr9:uid="{00000000-0011-0000-FFFF-FFFF02000000}">
      <tableStyleElement type="wholeTable" dxfId="19"/>
    </tableStyle>
  </tableStyles>
  <colors>
    <mruColors>
      <color rgb="FFFBFBFB"/>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6" tint="0.59999389629810485"/>
              <bgColor theme="1" tint="0.49998474074526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BFBF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My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[VBA_Monthly_Sales_Reporting_Template_Tool.xlsm]RegionTemp!PTRegion</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s>
    <c:plotArea>
      <c:layout/>
      <c:barChart>
        <c:barDir val="bar"/>
        <c:grouping val="clustered"/>
        <c:varyColors val="0"/>
        <c:ser>
          <c:idx val="0"/>
          <c:order val="0"/>
          <c:tx>
            <c:strRef>
              <c:f>RegionTemp!$R$2</c:f>
              <c:strCache>
                <c:ptCount val="1"/>
                <c:pt idx="0">
                  <c:v>Total</c:v>
                </c:pt>
              </c:strCache>
            </c:strRef>
          </c:tx>
          <c:spPr>
            <a:solidFill>
              <a:schemeClr val="accent1"/>
            </a:solidFill>
            <a:ln>
              <a:noFill/>
            </a:ln>
            <a:effectLst/>
          </c:spPr>
          <c:invertIfNegative val="0"/>
          <c:dPt>
            <c:idx val="0"/>
            <c:invertIfNegative val="0"/>
            <c:bubble3D val="0"/>
            <c:extLst>
              <c:ext xmlns:c16="http://schemas.microsoft.com/office/drawing/2014/chart" uri="{C3380CC4-5D6E-409C-BE32-E72D297353CC}">
                <c16:uniqueId val="{00000000-1363-400A-B663-3F1AD121184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RegionTemp!$Q$3:$Q$5</c:f>
              <c:strCache>
                <c:ptCount val="2"/>
                <c:pt idx="0">
                  <c:v>Erma</c:v>
                </c:pt>
                <c:pt idx="1">
                  <c:v>Dellicia</c:v>
                </c:pt>
              </c:strCache>
            </c:strRef>
          </c:cat>
          <c:val>
            <c:numRef>
              <c:f>RegionTemp!$R$3:$R$5</c:f>
              <c:numCache>
                <c:formatCode>[$$-409]#,##0.00</c:formatCode>
                <c:ptCount val="2"/>
                <c:pt idx="0">
                  <c:v>28620</c:v>
                </c:pt>
                <c:pt idx="1">
                  <c:v>37480</c:v>
                </c:pt>
              </c:numCache>
            </c:numRef>
          </c:val>
          <c:extLst>
            <c:ext xmlns:c16="http://schemas.microsoft.com/office/drawing/2014/chart" uri="{C3380CC4-5D6E-409C-BE32-E72D297353CC}">
              <c16:uniqueId val="{00000001-1363-400A-B663-3F1AD1211844}"/>
            </c:ext>
          </c:extLst>
        </c:ser>
        <c:dLbls>
          <c:showLegendKey val="0"/>
          <c:showVal val="0"/>
          <c:showCatName val="0"/>
          <c:showSerName val="0"/>
          <c:showPercent val="0"/>
          <c:showBubbleSize val="0"/>
        </c:dLbls>
        <c:gapWidth val="150"/>
        <c:axId val="111737256"/>
        <c:axId val="111734512"/>
      </c:barChart>
      <c:catAx>
        <c:axId val="111737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34512"/>
        <c:crosses val="autoZero"/>
        <c:auto val="1"/>
        <c:lblAlgn val="ctr"/>
        <c:lblOffset val="100"/>
        <c:noMultiLvlLbl val="0"/>
      </c:catAx>
      <c:valAx>
        <c:axId val="111734512"/>
        <c:scaling>
          <c:orientation val="minMax"/>
        </c:scaling>
        <c:delete val="0"/>
        <c:axPos val="b"/>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372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10</xdr:col>
      <xdr:colOff>320386</xdr:colOff>
      <xdr:row>0</xdr:row>
      <xdr:rowOff>77933</xdr:rowOff>
    </xdr:from>
    <xdr:ext cx="2260023" cy="320386"/>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706591" y="77933"/>
          <a:ext cx="2260023" cy="3203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1"/>
              </a:solidFill>
              <a:latin typeface="Matura MT Script Capitals" panose="03020802060602070202" pitchFamily="66" charset="0"/>
            </a:rPr>
            <a:t>Urban Creations</a:t>
          </a:r>
        </a:p>
      </xdr:txBody>
    </xdr:sp>
    <xdr:clientData/>
  </xdr:oneCellAnchor>
  <xdr:oneCellAnchor>
    <xdr:from>
      <xdr:col>0</xdr:col>
      <xdr:colOff>251113</xdr:colOff>
      <xdr:row>0</xdr:row>
      <xdr:rowOff>112568</xdr:rowOff>
    </xdr:from>
    <xdr:ext cx="4788478" cy="298800"/>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51113" y="112568"/>
          <a:ext cx="4788478"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solidFill>
                <a:schemeClr val="tx1">
                  <a:lumMod val="85000"/>
                  <a:lumOff val="15000"/>
                </a:schemeClr>
              </a:solidFill>
            </a:rPr>
            <a:t>Monthly</a:t>
          </a:r>
          <a:r>
            <a:rPr lang="en-US" sz="1400" baseline="0">
              <a:solidFill>
                <a:schemeClr val="tx1">
                  <a:lumMod val="85000"/>
                  <a:lumOff val="15000"/>
                </a:schemeClr>
              </a:solidFill>
            </a:rPr>
            <a:t> Sales Reporting Data Preparation Template</a:t>
          </a:r>
          <a:endParaRPr lang="en-US" sz="1400">
            <a:solidFill>
              <a:schemeClr val="tx1">
                <a:lumMod val="85000"/>
                <a:lumOff val="15000"/>
              </a:schemeClr>
            </a:solidFill>
          </a:endParaRPr>
        </a:p>
      </xdr:txBody>
    </xdr:sp>
    <xdr:clientData/>
  </xdr:oneCellAnchor>
  <mc:AlternateContent xmlns:mc="http://schemas.openxmlformats.org/markup-compatibility/2006">
    <mc:Choice xmlns:a14="http://schemas.microsoft.com/office/drawing/2010/main" Requires="a14">
      <xdr:twoCellAnchor>
        <xdr:from>
          <xdr:col>11</xdr:col>
          <xdr:colOff>9525</xdr:colOff>
          <xdr:row>6</xdr:row>
          <xdr:rowOff>95250</xdr:rowOff>
        </xdr:from>
        <xdr:to>
          <xdr:col>12</xdr:col>
          <xdr:colOff>276225</xdr:colOff>
          <xdr:row>8</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590550</xdr:colOff>
          <xdr:row>6</xdr:row>
          <xdr:rowOff>66675</xdr:rowOff>
        </xdr:from>
        <xdr:to>
          <xdr:col>10</xdr:col>
          <xdr:colOff>228600</xdr:colOff>
          <xdr:row>8</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352425</xdr:colOff>
          <xdr:row>6</xdr:row>
          <xdr:rowOff>123825</xdr:rowOff>
        </xdr:from>
        <xdr:to>
          <xdr:col>2</xdr:col>
          <xdr:colOff>1228725</xdr:colOff>
          <xdr:row>8</xdr:row>
          <xdr:rowOff>85725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142875</xdr:rowOff>
        </xdr:from>
        <xdr:to>
          <xdr:col>5</xdr:col>
          <xdr:colOff>438150</xdr:colOff>
          <xdr:row>8</xdr:row>
          <xdr:rowOff>95250</xdr:rowOff>
        </xdr:to>
        <xdr:sp macro="" textlink="">
          <xdr:nvSpPr>
            <xdr:cNvPr id="1030" name="CombRegion"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114300</xdr:colOff>
          <xdr:row>7</xdr:row>
          <xdr:rowOff>28575</xdr:rowOff>
        </xdr:from>
        <xdr:to>
          <xdr:col>7</xdr:col>
          <xdr:colOff>257175</xdr:colOff>
          <xdr:row>8</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14288</xdr:colOff>
      <xdr:row>7</xdr:row>
      <xdr:rowOff>21640</xdr:rowOff>
    </xdr:from>
    <xdr:to>
      <xdr:col>19</xdr:col>
      <xdr:colOff>552451</xdr:colOff>
      <xdr:row>21</xdr:row>
      <xdr:rowOff>4761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600075</xdr:colOff>
      <xdr:row>1</xdr:row>
      <xdr:rowOff>9524</xdr:rowOff>
    </xdr:from>
    <xdr:to>
      <xdr:col>24</xdr:col>
      <xdr:colOff>342901</xdr:colOff>
      <xdr:row>7</xdr:row>
      <xdr:rowOff>133349</xdr:rowOff>
    </xdr:to>
    <mc:AlternateContent xmlns:mc="http://schemas.openxmlformats.org/markup-compatibility/2006" xmlns:a14="http://schemas.microsoft.com/office/drawing/2010/main">
      <mc:Choice Requires="a14">
        <xdr:graphicFrame macro="">
          <xdr:nvGraphicFramePr>
            <xdr:cNvPr id="4" name="Company Name">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ompany Name"/>
            </a:graphicData>
          </a:graphic>
        </xdr:graphicFrame>
      </mc:Choice>
      <mc:Fallback xmlns="">
        <xdr:sp macro="" textlink="">
          <xdr:nvSpPr>
            <xdr:cNvPr id="0" name=""/>
            <xdr:cNvSpPr>
              <a:spLocks noTextEdit="1"/>
            </xdr:cNvSpPr>
          </xdr:nvSpPr>
          <xdr:spPr>
            <a:xfrm>
              <a:off x="22812375" y="495299"/>
              <a:ext cx="3152776" cy="1095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1</xdr:col>
      <xdr:colOff>4762</xdr:colOff>
      <xdr:row>0</xdr:row>
      <xdr:rowOff>109538</xdr:rowOff>
    </xdr:from>
    <xdr:ext cx="1496179" cy="387286"/>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04775" y="109538"/>
          <a:ext cx="1496179" cy="3872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000" baseline="0">
              <a:solidFill>
                <a:schemeClr val="bg1">
                  <a:lumMod val="85000"/>
                </a:schemeClr>
              </a:solidFill>
            </a:rPr>
            <a:t>Instructions</a:t>
          </a:r>
          <a:endParaRPr lang="en-GB" sz="2000">
            <a:solidFill>
              <a:schemeClr val="bg1">
                <a:lumMod val="85000"/>
              </a:schemeClr>
            </a:solidFill>
          </a:endParaRP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4552.969905555554" createdVersion="5" refreshedVersion="7" minRefreshableVersion="3" recordCount="42" xr:uid="{00000000-000A-0000-FFFF-FFFF88000000}">
  <cacheSource type="worksheet">
    <worksheetSource name="TableTemp"/>
  </cacheSource>
  <cacheFields count="13">
    <cacheField name="Company ID" numFmtId="0">
      <sharedItems/>
    </cacheField>
    <cacheField name="Sales Document" numFmtId="0">
      <sharedItems containsSemiMixedTypes="0" containsString="0" containsNumber="1" containsInteger="1" minValue="65627" maxValue="68116"/>
    </cacheField>
    <cacheField name="Document Date" numFmtId="14">
      <sharedItems containsSemiMixedTypes="0" containsNonDate="0" containsDate="1" containsString="0" minDate="2018-10-04T00:00:00" maxDate="2018-10-22T00:00:00"/>
    </cacheField>
    <cacheField name="Customer code" numFmtId="0">
      <sharedItems containsSemiMixedTypes="0" containsString="0" containsNumber="1" containsInteger="1" minValue="8010" maxValue="8020"/>
    </cacheField>
    <cacheField name="Article code" numFmtId="0">
      <sharedItems containsSemiMixedTypes="0" containsString="0" containsNumber="1" containsInteger="1" minValue="103" maxValue="107"/>
    </cacheField>
    <cacheField name="Reject" numFmtId="0">
      <sharedItems containsBlank="1" containsMixedTypes="1" containsNumber="1" containsInteger="1" minValue="1" maxValue="4"/>
    </cacheField>
    <cacheField name="Quantity" numFmtId="0">
      <sharedItems containsSemiMixedTypes="0" containsString="0" containsNumber="1" containsInteger="1" minValue="100" maxValue="200"/>
    </cacheField>
    <cacheField name="Sales Local currency" numFmtId="0">
      <sharedItems containsSemiMixedTypes="0" containsString="0" containsNumber="1" containsInteger="1" minValue="600" maxValue="2400"/>
    </cacheField>
    <cacheField name="Company Name" numFmtId="0">
      <sharedItems count="5">
        <s v="Urban Right"/>
        <s v="Meta Creations" u="1"/>
        <s v="Bere Kleid" u="1"/>
        <e v="#N/A" u="1"/>
        <s v="Lucas Basics" u="1"/>
      </sharedItems>
    </cacheField>
    <cacheField name="Customer name" numFmtId="0">
      <sharedItems count="7">
        <s v="Dellicia"/>
        <s v="Erma"/>
        <s v="Werner Strauss" u="1"/>
        <s v="Liebher" u="1"/>
        <s v="Edson" u="1"/>
        <s v="Aida GmbH" u="1"/>
        <e v="#N/A" u="1"/>
      </sharedItems>
    </cacheField>
    <cacheField name="Article Description" numFmtId="0">
      <sharedItems count="20">
        <s v="Women type T simple white"/>
        <s v="Women type T simple black"/>
        <s v="Women crop top black"/>
        <s v="Women basics"/>
        <s v="Men dress shirt black" u="1"/>
        <s v="Men type T simple black" u="1"/>
        <s v="Men type T simple white" u="1"/>
        <s v="Women evening dress long black" u="1"/>
        <s v="Unisex tank top white" u="1"/>
        <s v="Laptop bag black" u="1"/>
        <s v="Men dress shirt grey" u="1"/>
        <e v="#N/A" u="1"/>
        <s v="Men shorts grey" u="1"/>
        <s v="Men basics" u="1"/>
        <s v="Unisex tank top black" u="1"/>
        <s v="Smartphone case simple" u="1"/>
        <s v="Smartphone case diamond" u="1"/>
        <s v="Laptop bag red" u="1"/>
        <s v="Men shorts black" u="1"/>
        <s v="Women evening dress Cocktail red" u="1"/>
      </sharedItems>
    </cacheField>
    <cacheField name="Currency" numFmtId="0">
      <sharedItems/>
    </cacheField>
    <cacheField name="Sales in US dollars" numFmtId="0">
      <sharedItems containsSemiMixedTypes="0" containsString="0" containsNumber="1" containsInteger="1" minValue="600" maxValue="24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s v="1010US"/>
    <n v="66030"/>
    <d v="2018-10-04T00:00:00"/>
    <n v="8010"/>
    <n v="103"/>
    <s v=""/>
    <n v="120"/>
    <n v="1440"/>
    <x v="0"/>
    <x v="0"/>
    <x v="0"/>
    <s v="USD"/>
    <n v="1440"/>
  </r>
  <r>
    <s v="1010US"/>
    <n v="66030"/>
    <d v="2018-10-04T00:00:00"/>
    <n v="8010"/>
    <n v="104"/>
    <m/>
    <n v="150"/>
    <n v="1800"/>
    <x v="0"/>
    <x v="0"/>
    <x v="1"/>
    <s v="USD"/>
    <n v="1800"/>
  </r>
  <r>
    <s v="1010US"/>
    <n v="66032"/>
    <d v="2018-10-07T00:00:00"/>
    <n v="8010"/>
    <n v="103"/>
    <m/>
    <n v="170"/>
    <n v="2040"/>
    <x v="0"/>
    <x v="0"/>
    <x v="0"/>
    <s v="USD"/>
    <n v="2040"/>
  </r>
  <r>
    <s v="1010US"/>
    <n v="66032"/>
    <d v="2018-10-07T00:00:00"/>
    <n v="8010"/>
    <n v="104"/>
    <m/>
    <n v="140"/>
    <n v="1680"/>
    <x v="0"/>
    <x v="0"/>
    <x v="1"/>
    <s v="USD"/>
    <n v="1680"/>
  </r>
  <r>
    <s v="1010US"/>
    <n v="66031"/>
    <d v="2018-10-08T00:00:00"/>
    <n v="8020"/>
    <n v="103"/>
    <n v="1"/>
    <n v="140"/>
    <n v="1680"/>
    <x v="0"/>
    <x v="1"/>
    <x v="0"/>
    <s v="USD"/>
    <n v="1680"/>
  </r>
  <r>
    <s v="1010US"/>
    <n v="66031"/>
    <d v="2018-10-08T00:00:00"/>
    <n v="8020"/>
    <n v="104"/>
    <m/>
    <n v="150"/>
    <n v="1800"/>
    <x v="0"/>
    <x v="1"/>
    <x v="1"/>
    <s v="USD"/>
    <n v="1800"/>
  </r>
  <r>
    <s v="1010US"/>
    <n v="66031"/>
    <d v="2018-10-08T00:00:00"/>
    <n v="8020"/>
    <n v="105"/>
    <m/>
    <n v="100"/>
    <n v="1000"/>
    <x v="0"/>
    <x v="1"/>
    <x v="2"/>
    <s v="USD"/>
    <n v="1000"/>
  </r>
  <r>
    <s v="1010US"/>
    <n v="68112"/>
    <d v="2018-10-11T00:00:00"/>
    <n v="8010"/>
    <n v="104"/>
    <n v="4"/>
    <n v="180"/>
    <n v="2160"/>
    <x v="0"/>
    <x v="0"/>
    <x v="1"/>
    <s v="USD"/>
    <n v="2160"/>
  </r>
  <r>
    <s v="1010US"/>
    <n v="68112"/>
    <d v="2018-10-11T00:00:00"/>
    <n v="8010"/>
    <n v="105"/>
    <m/>
    <n v="120"/>
    <n v="1200"/>
    <x v="0"/>
    <x v="0"/>
    <x v="2"/>
    <s v="USD"/>
    <n v="1200"/>
  </r>
  <r>
    <s v="1010US"/>
    <n v="68116"/>
    <d v="2018-10-11T00:00:00"/>
    <n v="8020"/>
    <n v="104"/>
    <m/>
    <n v="150"/>
    <n v="1800"/>
    <x v="0"/>
    <x v="1"/>
    <x v="1"/>
    <s v="USD"/>
    <n v="1800"/>
  </r>
  <r>
    <s v="1010US"/>
    <n v="68116"/>
    <d v="2018-10-11T00:00:00"/>
    <n v="8020"/>
    <n v="105"/>
    <m/>
    <n v="190"/>
    <n v="1900"/>
    <x v="0"/>
    <x v="1"/>
    <x v="2"/>
    <s v="USD"/>
    <n v="1900"/>
  </r>
  <r>
    <s v="1010US"/>
    <n v="68116"/>
    <d v="2018-10-11T00:00:00"/>
    <n v="8020"/>
    <n v="107"/>
    <n v="2"/>
    <n v="160"/>
    <n v="800"/>
    <x v="0"/>
    <x v="1"/>
    <x v="3"/>
    <s v="USD"/>
    <n v="800"/>
  </r>
  <r>
    <s v="1010US"/>
    <n v="68116"/>
    <d v="2018-10-11T00:00:00"/>
    <n v="8010"/>
    <n v="104"/>
    <m/>
    <n v="160"/>
    <n v="1920"/>
    <x v="0"/>
    <x v="0"/>
    <x v="1"/>
    <s v="USD"/>
    <n v="1920"/>
  </r>
  <r>
    <s v="1010US"/>
    <n v="68116"/>
    <d v="2018-10-11T00:00:00"/>
    <n v="8010"/>
    <n v="105"/>
    <m/>
    <n v="190"/>
    <n v="1900"/>
    <x v="0"/>
    <x v="0"/>
    <x v="2"/>
    <s v="USD"/>
    <n v="1900"/>
  </r>
  <r>
    <s v="1010US"/>
    <n v="65662"/>
    <d v="2018-10-15T00:00:00"/>
    <n v="8020"/>
    <n v="103"/>
    <m/>
    <n v="120"/>
    <n v="1440"/>
    <x v="0"/>
    <x v="1"/>
    <x v="0"/>
    <s v="USD"/>
    <n v="1440"/>
  </r>
  <r>
    <s v="1010US"/>
    <n v="65662"/>
    <d v="2018-10-15T00:00:00"/>
    <n v="8020"/>
    <n v="104"/>
    <m/>
    <n v="110"/>
    <n v="1320"/>
    <x v="0"/>
    <x v="1"/>
    <x v="1"/>
    <s v="USD"/>
    <n v="1320"/>
  </r>
  <r>
    <s v="1010US"/>
    <n v="65666"/>
    <d v="2018-10-15T00:00:00"/>
    <n v="8010"/>
    <n v="103"/>
    <m/>
    <n v="120"/>
    <n v="1440"/>
    <x v="0"/>
    <x v="0"/>
    <x v="0"/>
    <s v="USD"/>
    <n v="1440"/>
  </r>
  <r>
    <s v="1010US"/>
    <n v="65666"/>
    <d v="2018-10-15T00:00:00"/>
    <n v="8010"/>
    <n v="104"/>
    <m/>
    <n v="140"/>
    <n v="1680"/>
    <x v="0"/>
    <x v="0"/>
    <x v="1"/>
    <s v="USD"/>
    <n v="1680"/>
  </r>
  <r>
    <s v="1010US"/>
    <n v="65666"/>
    <d v="2018-10-15T00:00:00"/>
    <n v="8010"/>
    <n v="105"/>
    <m/>
    <n v="160"/>
    <n v="1600"/>
    <x v="0"/>
    <x v="0"/>
    <x v="2"/>
    <s v="USD"/>
    <n v="1600"/>
  </r>
  <r>
    <s v="1010US"/>
    <n v="65666"/>
    <d v="2018-10-15T00:00:00"/>
    <n v="8020"/>
    <n v="107"/>
    <m/>
    <n v="120"/>
    <n v="600"/>
    <x v="0"/>
    <x v="1"/>
    <x v="3"/>
    <s v="USD"/>
    <n v="600"/>
  </r>
  <r>
    <s v="1010US"/>
    <n v="65666"/>
    <d v="2018-10-15T00:00:00"/>
    <n v="8020"/>
    <n v="103"/>
    <m/>
    <n v="200"/>
    <n v="2400"/>
    <x v="0"/>
    <x v="1"/>
    <x v="0"/>
    <s v="USD"/>
    <n v="2400"/>
  </r>
  <r>
    <s v="1010US"/>
    <n v="66015"/>
    <d v="2018-10-10T00:00:00"/>
    <n v="8010"/>
    <n v="103"/>
    <m/>
    <n v="140"/>
    <n v="1680"/>
    <x v="0"/>
    <x v="0"/>
    <x v="0"/>
    <s v="USD"/>
    <n v="1680"/>
  </r>
  <r>
    <s v="1010US"/>
    <n v="66015"/>
    <d v="2018-10-10T00:00:00"/>
    <n v="8010"/>
    <n v="104"/>
    <m/>
    <n v="140"/>
    <n v="1680"/>
    <x v="0"/>
    <x v="0"/>
    <x v="1"/>
    <s v="USD"/>
    <n v="1680"/>
  </r>
  <r>
    <s v="1010US"/>
    <n v="66017"/>
    <d v="2018-10-13T00:00:00"/>
    <n v="8010"/>
    <n v="103"/>
    <m/>
    <n v="140"/>
    <n v="1680"/>
    <x v="0"/>
    <x v="0"/>
    <x v="0"/>
    <s v="USD"/>
    <n v="1680"/>
  </r>
  <r>
    <s v="1010US"/>
    <n v="66017"/>
    <d v="2018-10-13T00:00:00"/>
    <n v="8010"/>
    <n v="104"/>
    <m/>
    <n v="140"/>
    <n v="1680"/>
    <x v="0"/>
    <x v="0"/>
    <x v="1"/>
    <s v="USD"/>
    <n v="1680"/>
  </r>
  <r>
    <s v="1010US"/>
    <n v="66016"/>
    <d v="2018-10-14T00:00:00"/>
    <n v="8020"/>
    <n v="103"/>
    <m/>
    <n v="120"/>
    <n v="1440"/>
    <x v="0"/>
    <x v="1"/>
    <x v="0"/>
    <s v="USD"/>
    <n v="1440"/>
  </r>
  <r>
    <s v="1010US"/>
    <n v="66016"/>
    <d v="2018-10-14T00:00:00"/>
    <n v="8020"/>
    <n v="104"/>
    <m/>
    <n v="130"/>
    <n v="1560"/>
    <x v="0"/>
    <x v="1"/>
    <x v="1"/>
    <s v="USD"/>
    <n v="1560"/>
  </r>
  <r>
    <s v="1010US"/>
    <n v="66016"/>
    <d v="2018-10-14T00:00:00"/>
    <n v="8020"/>
    <n v="105"/>
    <m/>
    <n v="120"/>
    <n v="1200"/>
    <x v="0"/>
    <x v="1"/>
    <x v="2"/>
    <s v="USD"/>
    <n v="1200"/>
  </r>
  <r>
    <s v="1010US"/>
    <n v="68097"/>
    <d v="2018-10-17T00:00:00"/>
    <n v="8010"/>
    <n v="104"/>
    <m/>
    <n v="140"/>
    <n v="1680"/>
    <x v="0"/>
    <x v="0"/>
    <x v="1"/>
    <s v="USD"/>
    <n v="1680"/>
  </r>
  <r>
    <s v="1010US"/>
    <n v="68097"/>
    <d v="2018-10-17T00:00:00"/>
    <n v="8010"/>
    <n v="105"/>
    <m/>
    <n v="130"/>
    <n v="1300"/>
    <x v="0"/>
    <x v="0"/>
    <x v="2"/>
    <s v="USD"/>
    <n v="1300"/>
  </r>
  <r>
    <s v="1010US"/>
    <n v="68099"/>
    <d v="2018-10-17T00:00:00"/>
    <n v="8020"/>
    <n v="104"/>
    <m/>
    <n v="120"/>
    <n v="1440"/>
    <x v="0"/>
    <x v="1"/>
    <x v="1"/>
    <s v="USD"/>
    <n v="1440"/>
  </r>
  <r>
    <s v="1010US"/>
    <n v="68099"/>
    <d v="2018-10-17T00:00:00"/>
    <n v="8020"/>
    <n v="105"/>
    <n v="2"/>
    <n v="140"/>
    <n v="1400"/>
    <x v="0"/>
    <x v="1"/>
    <x v="2"/>
    <s v="USD"/>
    <n v="1400"/>
  </r>
  <r>
    <s v="1010US"/>
    <n v="68099"/>
    <d v="2018-10-17T00:00:00"/>
    <n v="8020"/>
    <n v="107"/>
    <m/>
    <n v="170"/>
    <n v="850"/>
    <x v="0"/>
    <x v="1"/>
    <x v="3"/>
    <s v="USD"/>
    <n v="850"/>
  </r>
  <r>
    <s v="1010US"/>
    <n v="68101"/>
    <d v="2018-10-17T00:00:00"/>
    <n v="8010"/>
    <n v="104"/>
    <m/>
    <n v="190"/>
    <n v="2280"/>
    <x v="0"/>
    <x v="0"/>
    <x v="1"/>
    <s v="USD"/>
    <n v="2280"/>
  </r>
  <r>
    <s v="1010US"/>
    <n v="68101"/>
    <d v="2018-10-17T00:00:00"/>
    <n v="8010"/>
    <n v="105"/>
    <m/>
    <n v="140"/>
    <n v="1400"/>
    <x v="0"/>
    <x v="0"/>
    <x v="2"/>
    <s v="USD"/>
    <n v="1400"/>
  </r>
  <r>
    <s v="1010US"/>
    <n v="65627"/>
    <d v="2018-10-21T00:00:00"/>
    <n v="8020"/>
    <n v="103"/>
    <m/>
    <n v="140"/>
    <n v="1680"/>
    <x v="0"/>
    <x v="1"/>
    <x v="0"/>
    <s v="USD"/>
    <n v="1680"/>
  </r>
  <r>
    <s v="1010US"/>
    <n v="65627"/>
    <d v="2018-10-21T00:00:00"/>
    <n v="8020"/>
    <n v="104"/>
    <n v="3"/>
    <n v="160"/>
    <n v="1920"/>
    <x v="0"/>
    <x v="1"/>
    <x v="1"/>
    <s v="USD"/>
    <n v="1920"/>
  </r>
  <r>
    <s v="1010US"/>
    <n v="65629"/>
    <d v="2018-10-21T00:00:00"/>
    <n v="8010"/>
    <n v="103"/>
    <m/>
    <n v="190"/>
    <n v="2280"/>
    <x v="0"/>
    <x v="0"/>
    <x v="0"/>
    <s v="USD"/>
    <n v="2280"/>
  </r>
  <r>
    <s v="1010US"/>
    <n v="65629"/>
    <d v="2018-10-21T00:00:00"/>
    <n v="8010"/>
    <n v="104"/>
    <m/>
    <n v="130"/>
    <n v="1560"/>
    <x v="0"/>
    <x v="0"/>
    <x v="1"/>
    <s v="USD"/>
    <n v="1560"/>
  </r>
  <r>
    <s v="1010US"/>
    <n v="65629"/>
    <d v="2018-10-21T00:00:00"/>
    <n v="8010"/>
    <n v="105"/>
    <m/>
    <n v="140"/>
    <n v="1400"/>
    <x v="0"/>
    <x v="0"/>
    <x v="2"/>
    <s v="USD"/>
    <n v="1400"/>
  </r>
  <r>
    <s v="1010US"/>
    <n v="65631"/>
    <d v="2018-10-21T00:00:00"/>
    <n v="8020"/>
    <n v="107"/>
    <m/>
    <n v="190"/>
    <n v="950"/>
    <x v="0"/>
    <x v="1"/>
    <x v="3"/>
    <s v="USD"/>
    <n v="950"/>
  </r>
  <r>
    <s v="1010US"/>
    <n v="65631"/>
    <d v="2018-10-21T00:00:00"/>
    <n v="8020"/>
    <n v="103"/>
    <m/>
    <n v="120"/>
    <n v="1440"/>
    <x v="0"/>
    <x v="1"/>
    <x v="0"/>
    <s v="USD"/>
    <n v="14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TRegion" cacheId="1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chartFormat="11" rowHeaderCaption="Customer">
  <location ref="Q2:R5" firstHeaderRow="1" firstDataRow="1" firstDataCol="1"/>
  <pivotFields count="13">
    <pivotField showAll="0"/>
    <pivotField showAll="0"/>
    <pivotField numFmtId="14" showAll="0"/>
    <pivotField showAll="0"/>
    <pivotField showAll="0"/>
    <pivotField showAll="0"/>
    <pivotField showAll="0"/>
    <pivotField showAll="0"/>
    <pivotField showAll="0"/>
    <pivotField axis="axisRow" showAll="0">
      <items count="8">
        <item m="1" x="2"/>
        <item x="1"/>
        <item x="0"/>
        <item m="1" x="6"/>
        <item m="1" x="5"/>
        <item m="1" x="4"/>
        <item m="1" x="3"/>
        <item t="default"/>
      </items>
    </pivotField>
    <pivotField showAll="0"/>
    <pivotField showAll="0"/>
    <pivotField dataField="1" showAll="0"/>
  </pivotFields>
  <rowFields count="1">
    <field x="9"/>
  </rowFields>
  <rowItems count="3">
    <i>
      <x v="1"/>
    </i>
    <i>
      <x v="2"/>
    </i>
    <i t="grand">
      <x/>
    </i>
  </rowItems>
  <colItems count="1">
    <i/>
  </colItems>
  <dataFields count="1">
    <dataField name="Sales $" fld="12" baseField="0" baseItem="0" numFmtId="164"/>
  </dataFields>
  <chartFormats count="4">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9" count="1" selected="0">
            <x v="0"/>
          </reference>
        </references>
      </pivotArea>
    </chartFormat>
    <chartFormat chart="2" format="2">
      <pivotArea type="data" outline="0" fieldPosition="0">
        <references count="2">
          <reference field="4294967294" count="1" selected="0">
            <x v="0"/>
          </reference>
          <reference field="9" count="1" selected="0">
            <x v="1"/>
          </reference>
        </references>
      </pivotArea>
    </chartFormat>
    <chartFormat chart="2" format="3">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TManager" cacheId="10" applyNumberFormats="0" applyBorderFormats="0" applyFontFormats="0" applyPatternFormats="0" applyAlignmentFormats="0" applyWidthHeightFormats="1" dataCaption="Values" updatedVersion="7" minRefreshableVersion="3" showDrill="0" useAutoFormatting="1" itemPrintTitles="1" createdVersion="5" indent="0" outline="1" outlineData="1" multipleFieldFilters="0" chartFormat="11" rowHeaderCaption="Company">
  <location ref="AH2:AJ16" firstHeaderRow="0" firstDataRow="1" firstDataCol="1"/>
  <pivotFields count="13">
    <pivotField subtotalTop="0" showAll="0"/>
    <pivotField subtotalTop="0" showAll="0"/>
    <pivotField numFmtId="14" subtotalTop="0" showAll="0"/>
    <pivotField subtotalTop="0" showAll="0"/>
    <pivotField subtotalTop="0" showAll="0"/>
    <pivotField subtotalTop="0" showAll="0"/>
    <pivotField dataField="1" subtotalTop="0" showAll="0"/>
    <pivotField subtotalTop="0" showAll="0"/>
    <pivotField axis="axisRow" subtotalTop="0" showAll="0" sortType="descending">
      <items count="6">
        <item m="1" x="2"/>
        <item m="1" x="1"/>
        <item m="1" x="3"/>
        <item x="0"/>
        <item m="1" x="4"/>
        <item t="default"/>
      </items>
      <autoSortScope>
        <pivotArea dataOnly="0" outline="0" fieldPosition="0">
          <references count="1">
            <reference field="4294967294" count="1" selected="0">
              <x v="0"/>
            </reference>
          </references>
        </pivotArea>
      </autoSortScope>
    </pivotField>
    <pivotField axis="axisRow" subtotalTop="0" showAll="0">
      <items count="8">
        <item m="1" x="2"/>
        <item x="1"/>
        <item x="0"/>
        <item m="1" x="6"/>
        <item m="1" x="5"/>
        <item m="1" x="4"/>
        <item m="1" x="3"/>
        <item t="default"/>
      </items>
    </pivotField>
    <pivotField axis="axisRow" subtotalTop="0" showAll="0" sortType="descending">
      <items count="21">
        <item m="1" x="9"/>
        <item m="1" x="17"/>
        <item m="1" x="13"/>
        <item m="1" x="4"/>
        <item m="1" x="10"/>
        <item m="1" x="18"/>
        <item m="1" x="12"/>
        <item m="1" x="5"/>
        <item m="1" x="6"/>
        <item m="1" x="16"/>
        <item m="1" x="15"/>
        <item m="1" x="14"/>
        <item m="1" x="8"/>
        <item x="3"/>
        <item x="2"/>
        <item m="1" x="19"/>
        <item m="1" x="7"/>
        <item x="1"/>
        <item x="0"/>
        <item m="1" x="11"/>
        <item t="default"/>
      </items>
      <autoSortScope>
        <pivotArea dataOnly="0" outline="0" fieldPosition="0">
          <references count="1">
            <reference field="4294967294" count="1" selected="0">
              <x v="0"/>
            </reference>
          </references>
        </pivotArea>
      </autoSortScope>
    </pivotField>
    <pivotField subtotalTop="0" showAll="0"/>
    <pivotField dataField="1" subtotalTop="0" showAll="0"/>
  </pivotFields>
  <rowFields count="3">
    <field x="8"/>
    <field x="9"/>
    <field x="10"/>
  </rowFields>
  <rowItems count="14">
    <i>
      <x v="3"/>
    </i>
    <i r="1">
      <x v="1"/>
    </i>
    <i r="2">
      <x v="18"/>
    </i>
    <i r="2">
      <x v="17"/>
    </i>
    <i r="2">
      <x v="14"/>
    </i>
    <i r="2">
      <x v="13"/>
    </i>
    <i t="default" r="1">
      <x v="1"/>
    </i>
    <i r="1">
      <x v="2"/>
    </i>
    <i r="2">
      <x v="17"/>
    </i>
    <i r="2">
      <x v="18"/>
    </i>
    <i r="2">
      <x v="14"/>
    </i>
    <i t="default" r="1">
      <x v="2"/>
    </i>
    <i t="default">
      <x v="3"/>
    </i>
    <i t="grand">
      <x/>
    </i>
  </rowItems>
  <colFields count="1">
    <field x="-2"/>
  </colFields>
  <colItems count="2">
    <i>
      <x/>
    </i>
    <i i="1">
      <x v="1"/>
    </i>
  </colItems>
  <dataFields count="2">
    <dataField name="Sales $" fld="12" baseField="0" baseItem="0" numFmtId="164"/>
    <dataField name="QuantityB" fld="6" baseField="0" baseItem="0"/>
  </dataField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TRejects" cacheId="1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rowHeaderCaption="Article">
  <location ref="AA9:AC14" firstHeaderRow="0" firstDataRow="1" firstDataCol="1"/>
  <pivotFields count="13">
    <pivotField showAll="0"/>
    <pivotField showAll="0"/>
    <pivotField numFmtId="14" showAll="0"/>
    <pivotField showAll="0"/>
    <pivotField showAll="0"/>
    <pivotField dataField="1" showAll="0"/>
    <pivotField showAll="0"/>
    <pivotField showAll="0"/>
    <pivotField showAll="0">
      <items count="6">
        <item m="1" x="2"/>
        <item m="1" x="4"/>
        <item m="1" x="1"/>
        <item x="0"/>
        <item m="1" x="3"/>
        <item t="default"/>
      </items>
    </pivotField>
    <pivotField showAll="0"/>
    <pivotField axis="axisRow" showAll="0" measureFilter="1" sortType="descending">
      <items count="21">
        <item m="1" x="9"/>
        <item m="1" x="17"/>
        <item m="1" x="13"/>
        <item m="1" x="18"/>
        <item m="1" x="12"/>
        <item m="1" x="16"/>
        <item m="1" x="15"/>
        <item m="1" x="8"/>
        <item x="3"/>
        <item m="1" x="19"/>
        <item m="1" x="7"/>
        <item m="1" x="11"/>
        <item x="1"/>
        <item x="2"/>
        <item x="0"/>
        <item m="1" x="14"/>
        <item m="1" x="6"/>
        <item m="1" x="5"/>
        <item m="1" x="4"/>
        <item m="1" x="10"/>
        <item t="default"/>
      </items>
      <autoSortScope>
        <pivotArea dataOnly="0" outline="0" fieldPosition="0">
          <references count="1">
            <reference field="4294967294" count="1" selected="0">
              <x v="1"/>
            </reference>
          </references>
        </pivotArea>
      </autoSortScope>
    </pivotField>
    <pivotField showAll="0"/>
    <pivotField showAll="0"/>
  </pivotFields>
  <rowFields count="1">
    <field x="10"/>
  </rowFields>
  <rowItems count="5">
    <i>
      <x v="14"/>
    </i>
    <i>
      <x v="12"/>
    </i>
    <i>
      <x v="8"/>
    </i>
    <i>
      <x v="13"/>
    </i>
    <i t="grand">
      <x/>
    </i>
  </rowItems>
  <colFields count="1">
    <field x="-2"/>
  </colFields>
  <colItems count="2">
    <i>
      <x/>
    </i>
    <i i="1">
      <x v="1"/>
    </i>
  </colItems>
  <dataFields count="2">
    <dataField name="Rejects" fld="5" subtotal="count" baseField="0" baseItem="0"/>
    <dataField name="Rejects %" fld="5" subtotal="count" showDataAs="percentOfTotal" baseField="0" baseItem="0" numFmtId="10"/>
  </dataFields>
  <pivotTableStyleInfo name="PivotStyleLight16" showRowHeaders="1" showColHeaders="1" showRowStripes="0"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TArticle" cacheId="10" applyNumberFormats="0" applyBorderFormats="0" applyFontFormats="0" applyPatternFormats="0" applyAlignmentFormats="0" applyWidthHeightFormats="1" dataCaption="Values" updatedVersion="7" minRefreshableVersion="3" useAutoFormatting="1" itemPrintTitles="1" createdVersion="5" indent="0" outline="1" outlineData="1" multipleFieldFilters="0" rowHeaderCaption="Article">
  <location ref="V9:X14" firstHeaderRow="0" firstDataRow="1" firstDataCol="1"/>
  <pivotFields count="13">
    <pivotField showAll="0"/>
    <pivotField showAll="0"/>
    <pivotField numFmtId="14" showAll="0"/>
    <pivotField showAll="0"/>
    <pivotField showAll="0"/>
    <pivotField showAll="0"/>
    <pivotField dataField="1" showAll="0"/>
    <pivotField showAll="0"/>
    <pivotField showAll="0">
      <items count="6">
        <item m="1" x="2"/>
        <item m="1" x="4"/>
        <item m="1" x="1"/>
        <item x="0"/>
        <item m="1" x="3"/>
        <item t="default"/>
      </items>
    </pivotField>
    <pivotField showAll="0"/>
    <pivotField axis="axisRow" showAll="0" sortType="descending">
      <items count="21">
        <item m="1" x="9"/>
        <item m="1" x="17"/>
        <item m="1" x="13"/>
        <item m="1" x="18"/>
        <item m="1" x="12"/>
        <item m="1" x="16"/>
        <item m="1" x="15"/>
        <item m="1" x="8"/>
        <item x="3"/>
        <item m="1" x="19"/>
        <item m="1" x="7"/>
        <item m="1" x="11"/>
        <item x="1"/>
        <item x="2"/>
        <item x="0"/>
        <item m="1" x="14"/>
        <item m="1" x="6"/>
        <item m="1" x="5"/>
        <item m="1" x="4"/>
        <item m="1" x="10"/>
        <item t="default"/>
      </items>
      <autoSortScope>
        <pivotArea dataOnly="0" outline="0" fieldPosition="0">
          <references count="1">
            <reference field="4294967294" count="1" selected="0">
              <x v="0"/>
            </reference>
          </references>
        </pivotArea>
      </autoSortScope>
    </pivotField>
    <pivotField showAll="0"/>
    <pivotField dataField="1" showAll="0"/>
  </pivotFields>
  <rowFields count="1">
    <field x="10"/>
  </rowFields>
  <rowItems count="5">
    <i>
      <x v="12"/>
    </i>
    <i>
      <x v="14"/>
    </i>
    <i>
      <x v="13"/>
    </i>
    <i>
      <x v="8"/>
    </i>
    <i t="grand">
      <x/>
    </i>
  </rowItems>
  <colFields count="1">
    <field x="-2"/>
  </colFields>
  <colItems count="2">
    <i>
      <x/>
    </i>
    <i i="1">
      <x v="1"/>
    </i>
  </colItems>
  <dataFields count="2">
    <dataField name="Sales $" fld="12" baseField="0" baseItem="0"/>
    <dataField name="QuantityB"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any_Name" xr10:uid="{00000000-0013-0000-FFFF-FFFF01000000}" sourceName="Company Name">
  <pivotTables>
    <pivotTable tabId="7" name="PTArticle"/>
    <pivotTable tabId="7" name="PTRejects"/>
  </pivotTables>
  <data>
    <tabular pivotCacheId="1">
      <items count="5">
        <i x="0" s="1"/>
        <i x="2" s="1" nd="1"/>
        <i x="4" s="1" nd="1"/>
        <i x="1"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any Name" xr10:uid="{00000000-0014-0000-FFFF-FFFF01000000}" cache="Slicer_Company_Name" caption="Company Name" showCaption="0" style="MySlicer"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emp" displayName="TableTemp" ref="A1:M43" totalsRowShown="0" headerRowDxfId="18" headerRowBorderDxfId="17" tableBorderDxfId="16" totalsRowBorderDxfId="15">
  <tableColumns count="13">
    <tableColumn id="1" xr3:uid="{00000000-0010-0000-0000-000001000000}" name="Company ID" dataDxfId="14"/>
    <tableColumn id="2" xr3:uid="{00000000-0010-0000-0000-000002000000}" name="Sales Document" dataDxfId="13"/>
    <tableColumn id="3" xr3:uid="{00000000-0010-0000-0000-000003000000}" name="Document Date" dataDxfId="12"/>
    <tableColumn id="4" xr3:uid="{00000000-0010-0000-0000-000004000000}" name="Customer code" dataDxfId="11"/>
    <tableColumn id="5" xr3:uid="{00000000-0010-0000-0000-000005000000}" name="Article code" dataDxfId="10"/>
    <tableColumn id="6" xr3:uid="{00000000-0010-0000-0000-000006000000}" name="Reject" dataDxfId="9"/>
    <tableColumn id="7" xr3:uid="{00000000-0010-0000-0000-000007000000}" name="Quantity" dataDxfId="8"/>
    <tableColumn id="8" xr3:uid="{00000000-0010-0000-0000-000008000000}" name="Sales Local currency" dataDxfId="7"/>
    <tableColumn id="9" xr3:uid="{00000000-0010-0000-0000-000009000000}" name="Company Name" dataDxfId="6">
      <calculatedColumnFormula>VLOOKUP(TableTemp[[#This Row],[Company ID]],MCompany[],2,0)</calculatedColumnFormula>
    </tableColumn>
    <tableColumn id="10" xr3:uid="{00000000-0010-0000-0000-00000A000000}" name="Customer name" dataDxfId="5">
      <calculatedColumnFormula>VLOOKUP(TableTemp[[#This Row],[Customer code]],MCustomer[],2,0)</calculatedColumnFormula>
    </tableColumn>
    <tableColumn id="11" xr3:uid="{00000000-0010-0000-0000-00000B000000}" name="Article Description" dataDxfId="4">
      <calculatedColumnFormula>VLOOKUP(TableTemp[[#This Row],[Article code]],MArticle[],2,0)</calculatedColumnFormula>
    </tableColumn>
    <tableColumn id="12" xr3:uid="{00000000-0010-0000-0000-00000C000000}" name="Currency" dataDxfId="3">
      <calculatedColumnFormula>VLOOKUP(TableTemp[[#This Row],[Company ID]],MCompany[],3,0)</calculatedColumnFormula>
    </tableColumn>
    <tableColumn id="13" xr3:uid="{00000000-0010-0000-0000-00000D000000}" name="Sales in US dollars" dataDxfId="2">
      <calculatedColumnFormula>IF(TableTemp[[#This Row],[Currency]]="EUR",ROUND(VLOOKUP(MONTH(TableTemp[[#This Row],[Document Date]]),MExchange[],2,0),2)*TableTemp[[#This Row],[Sales Local currency]],ROUND(TableTemp[[#This Row],[Sales Local currency]],2))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Company" displayName="MCompany" ref="B8:E12" tableBorderDxfId="1">
  <autoFilter ref="B8:E12" xr:uid="{00000000-0009-0000-0100-000002000000}">
    <filterColumn colId="0" hiddenButton="1"/>
    <filterColumn colId="1" hiddenButton="1"/>
    <filterColumn colId="2" hiddenButton="1"/>
    <filterColumn colId="3" hiddenButton="1"/>
  </autoFilter>
  <tableColumns count="4">
    <tableColumn id="1" xr3:uid="{00000000-0010-0000-0100-000001000000}" name="Company code" totalsRowLabel="Total"/>
    <tableColumn id="2" xr3:uid="{00000000-0010-0000-0100-000002000000}" name="Company Name"/>
    <tableColumn id="3" xr3:uid="{00000000-0010-0000-0100-000003000000}" name="Currency" totalsRowFunction="count"/>
    <tableColumn id="4" xr3:uid="{00000000-0010-0000-0100-000004000000}" name="Regio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Customer" displayName="MCustomer" ref="B16:C22" totalsRowShown="0">
  <autoFilter ref="B16:C22" xr:uid="{00000000-0009-0000-0100-000003000000}">
    <filterColumn colId="0" hiddenButton="1"/>
    <filterColumn colId="1" hiddenButton="1"/>
  </autoFilter>
  <tableColumns count="2">
    <tableColumn id="1" xr3:uid="{00000000-0010-0000-0200-000001000000}" name="Customer code"/>
    <tableColumn id="2" xr3:uid="{00000000-0010-0000-0200-000002000000}" name="Customer Name"/>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MArticle" displayName="MArticle" ref="B26:C46" totalsRowShown="0">
  <autoFilter ref="B26:C46" xr:uid="{00000000-0009-0000-0100-000004000000}">
    <filterColumn colId="0" hiddenButton="1"/>
    <filterColumn colId="1" hiddenButton="1"/>
  </autoFilter>
  <tableColumns count="2">
    <tableColumn id="1" xr3:uid="{00000000-0010-0000-0300-000001000000}" name="Article code" dataDxfId="0"/>
    <tableColumn id="2" xr3:uid="{00000000-0010-0000-0300-000002000000}" name="Description"/>
  </tableColumns>
  <tableStyleInfo name="Table Style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MExchange" displayName="MExchange" ref="B52:C64" totalsRowShown="0">
  <autoFilter ref="B52:C64" xr:uid="{00000000-0009-0000-0100-000005000000}">
    <filterColumn colId="0" hiddenButton="1"/>
    <filterColumn colId="1" hiddenButton="1"/>
  </autoFilter>
  <tableColumns count="2">
    <tableColumn id="1" xr3:uid="{00000000-0010-0000-0400-000001000000}" name="Month"/>
    <tableColumn id="2" xr3:uid="{00000000-0010-0000-0400-000002000000}" name="EUR to $"/>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drawing" Target="../drawings/drawing2.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Start"/>
  <dimension ref="A1:Q121"/>
  <sheetViews>
    <sheetView showGridLines="0" tabSelected="1" zoomScale="110" zoomScaleNormal="110" workbookViewId="0">
      <selection activeCell="D17" sqref="D17"/>
    </sheetView>
  </sheetViews>
  <sheetFormatPr defaultColWidth="0" defaultRowHeight="12.75" zeroHeight="1" x14ac:dyDescent="0.2"/>
  <cols>
    <col min="1" max="1" width="4" customWidth="1"/>
    <col min="2" max="2" width="9.140625" customWidth="1"/>
    <col min="3" max="3" width="19.85546875" customWidth="1"/>
    <col min="4" max="4" width="9.140625" customWidth="1"/>
    <col min="5" max="5" width="5.85546875" customWidth="1"/>
    <col min="6" max="6" width="9.140625" customWidth="1"/>
    <col min="7" max="7" width="12.85546875" customWidth="1"/>
    <col min="8" max="8" width="4.5703125" customWidth="1"/>
    <col min="9" max="15" width="9.140625" customWidth="1"/>
    <col min="16" max="17" width="0" hidden="1" customWidth="1"/>
    <col min="18" max="16384" width="9.140625" hidden="1"/>
  </cols>
  <sheetData>
    <row r="1" spans="2:15" ht="28.9" customHeight="1" x14ac:dyDescent="0.2"/>
    <row r="2" spans="2:15" ht="11.65" customHeight="1" x14ac:dyDescent="0.2"/>
    <row r="3" spans="2:15" x14ac:dyDescent="0.2"/>
    <row r="4" spans="2:15" x14ac:dyDescent="0.2"/>
    <row r="5" spans="2:15" x14ac:dyDescent="0.2">
      <c r="B5" t="s">
        <v>111</v>
      </c>
      <c r="E5" t="s">
        <v>112</v>
      </c>
      <c r="G5" t="s">
        <v>113</v>
      </c>
      <c r="J5" t="s">
        <v>114</v>
      </c>
      <c r="L5" t="s">
        <v>115</v>
      </c>
      <c r="O5" t="s">
        <v>116</v>
      </c>
    </row>
    <row r="6" spans="2:15" x14ac:dyDescent="0.2"/>
    <row r="7" spans="2:15" x14ac:dyDescent="0.2"/>
    <row r="8" spans="2:15" x14ac:dyDescent="0.2"/>
    <row r="9" spans="2:15" x14ac:dyDescent="0.2"/>
    <row r="10" spans="2:15" x14ac:dyDescent="0.2"/>
    <row r="11" spans="2:15" x14ac:dyDescent="0.2">
      <c r="C11" t="s">
        <v>84</v>
      </c>
    </row>
    <row r="12" spans="2:15" x14ac:dyDescent="0.2">
      <c r="C12" t="s">
        <v>86</v>
      </c>
      <c r="H12" s="7"/>
      <c r="N12" t="s">
        <v>109</v>
      </c>
      <c r="O12" t="s">
        <v>110</v>
      </c>
    </row>
    <row r="13" spans="2:15" x14ac:dyDescent="0.2">
      <c r="C13" t="s">
        <v>85</v>
      </c>
      <c r="H13" s="7"/>
    </row>
    <row r="14" spans="2:15" x14ac:dyDescent="0.2"/>
    <row r="15" spans="2:15" x14ac:dyDescent="0.2"/>
    <row r="16" spans="2:15" x14ac:dyDescent="0.2"/>
    <row r="17" spans="2:8" x14ac:dyDescent="0.2">
      <c r="B17" s="38" t="s">
        <v>107</v>
      </c>
      <c r="C17" s="4"/>
      <c r="D17" s="4"/>
      <c r="E17" s="4"/>
      <c r="F17" s="4"/>
      <c r="G17" s="4"/>
      <c r="H17" s="4"/>
    </row>
    <row r="18" spans="2:8" x14ac:dyDescent="0.2"/>
    <row r="19" spans="2:8" x14ac:dyDescent="0.2"/>
    <row r="20" spans="2:8" x14ac:dyDescent="0.2"/>
    <row r="21" spans="2:8" x14ac:dyDescent="0.2"/>
    <row r="22" spans="2:8" x14ac:dyDescent="0.2"/>
    <row r="23" spans="2:8" x14ac:dyDescent="0.2"/>
    <row r="24" spans="2:8" x14ac:dyDescent="0.2"/>
    <row r="25" spans="2:8" x14ac:dyDescent="0.2"/>
    <row r="26" spans="2:8" x14ac:dyDescent="0.2"/>
    <row r="27" spans="2:8" x14ac:dyDescent="0.2"/>
    <row r="28" spans="2:8" x14ac:dyDescent="0.2"/>
    <row r="29" spans="2:8" x14ac:dyDescent="0.2"/>
    <row r="30" spans="2:8" x14ac:dyDescent="0.2">
      <c r="B30" s="4"/>
      <c r="C30" s="4"/>
      <c r="D30" s="4"/>
      <c r="E30" s="4"/>
      <c r="F30" s="4"/>
      <c r="G30" s="4"/>
      <c r="H30" s="4"/>
    </row>
    <row r="31" spans="2:8" x14ac:dyDescent="0.2"/>
    <row r="32" spans="2:8" x14ac:dyDescent="0.2"/>
    <row r="33" x14ac:dyDescent="0.2"/>
    <row r="34" x14ac:dyDescent="0.2"/>
    <row r="35" x14ac:dyDescent="0.2"/>
    <row r="36" x14ac:dyDescent="0.2"/>
    <row r="37" x14ac:dyDescent="0.2"/>
    <row r="121" spans="2:2" hidden="1" x14ac:dyDescent="0.2">
      <c r="B121" t="s">
        <v>108</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30" r:id="rId4" name="CombRegion">
          <controlPr defaultSize="0" autoLine="0" listFillRange="MRegion" r:id="rId5">
            <anchor moveWithCells="1">
              <from>
                <xdr:col>3</xdr:col>
                <xdr:colOff>600075</xdr:colOff>
                <xdr:row>6</xdr:row>
                <xdr:rowOff>142875</xdr:rowOff>
              </from>
              <to>
                <xdr:col>5</xdr:col>
                <xdr:colOff>438150</xdr:colOff>
                <xdr:row>8</xdr:row>
                <xdr:rowOff>95250</xdr:rowOff>
              </to>
            </anchor>
          </controlPr>
        </control>
      </mc:Choice>
      <mc:Fallback>
        <control shapeId="1030" r:id="rId4" name="CombRegion"/>
      </mc:Fallback>
    </mc:AlternateContent>
    <mc:AlternateContent xmlns:mc="http://schemas.openxmlformats.org/markup-compatibility/2006">
      <mc:Choice Requires="x14">
        <control shapeId="1027" r:id="rId6" name="Button 3">
          <controlPr defaultSize="0" print="0" autoFill="0" autoPict="0" macro="[0]!_xludf.clear">
            <anchor moveWithCells="1" sizeWithCells="1">
              <from>
                <xdr:col>11</xdr:col>
                <xdr:colOff>9525</xdr:colOff>
                <xdr:row>6</xdr:row>
                <xdr:rowOff>95250</xdr:rowOff>
              </from>
              <to>
                <xdr:col>12</xdr:col>
                <xdr:colOff>276225</xdr:colOff>
                <xdr:row>8</xdr:row>
                <xdr:rowOff>38100</xdr:rowOff>
              </to>
            </anchor>
          </controlPr>
        </control>
      </mc:Choice>
    </mc:AlternateContent>
    <mc:AlternateContent xmlns:mc="http://schemas.openxmlformats.org/markup-compatibility/2006">
      <mc:Choice Requires="x14">
        <control shapeId="1028" r:id="rId7" name="Button 4">
          <controlPr defaultSize="0" print="0" autoFill="0" autoPict="0" macro="[0]!create_csv">
            <anchor moveWithCells="1" sizeWithCells="1">
              <from>
                <xdr:col>8</xdr:col>
                <xdr:colOff>590550</xdr:colOff>
                <xdr:row>6</xdr:row>
                <xdr:rowOff>66675</xdr:rowOff>
              </from>
              <to>
                <xdr:col>10</xdr:col>
                <xdr:colOff>228600</xdr:colOff>
                <xdr:row>8</xdr:row>
                <xdr:rowOff>47625</xdr:rowOff>
              </to>
            </anchor>
          </controlPr>
        </control>
      </mc:Choice>
    </mc:AlternateContent>
    <mc:AlternateContent xmlns:mc="http://schemas.openxmlformats.org/markup-compatibility/2006">
      <mc:Choice Requires="x14">
        <control shapeId="1029" r:id="rId8" name="Button 5">
          <controlPr defaultSize="0" print="0" autoFill="0" autoPict="0" macro="[0]!import_data">
            <anchor moveWithCells="1" sizeWithCells="1">
              <from>
                <xdr:col>2</xdr:col>
                <xdr:colOff>352425</xdr:colOff>
                <xdr:row>6</xdr:row>
                <xdr:rowOff>123825</xdr:rowOff>
              </from>
              <to>
                <xdr:col>2</xdr:col>
                <xdr:colOff>1228725</xdr:colOff>
                <xdr:row>8</xdr:row>
                <xdr:rowOff>85725</xdr:rowOff>
              </to>
            </anchor>
          </controlPr>
        </control>
      </mc:Choice>
    </mc:AlternateContent>
    <mc:AlternateContent xmlns:mc="http://schemas.openxmlformats.org/markup-compatibility/2006">
      <mc:Choice Requires="x14">
        <control shapeId="1031" r:id="rId9" name="Button 7">
          <controlPr defaultSize="0" print="0" autoFill="0" autoPict="0" macro="[0]!create_reports">
            <anchor moveWithCells="1" sizeWithCells="1">
              <from>
                <xdr:col>6</xdr:col>
                <xdr:colOff>114300</xdr:colOff>
                <xdr:row>7</xdr:row>
                <xdr:rowOff>28575</xdr:rowOff>
              </from>
              <to>
                <xdr:col>7</xdr:col>
                <xdr:colOff>257175</xdr:colOff>
                <xdr:row>8</xdr:row>
                <xdr:rowOff>114300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All"/>
  <dimension ref="A1:H141"/>
  <sheetViews>
    <sheetView workbookViewId="0">
      <selection activeCell="H44" sqref="H44:H85"/>
    </sheetView>
  </sheetViews>
  <sheetFormatPr defaultColWidth="9.140625" defaultRowHeight="12.75" x14ac:dyDescent="0.2"/>
  <cols>
    <col min="1" max="1" width="13.5703125" style="8" customWidth="1"/>
    <col min="2" max="8" width="16" style="8" customWidth="1"/>
    <col min="9" max="16384" width="9.140625" style="8"/>
  </cols>
  <sheetData>
    <row r="1" spans="1:8" x14ac:dyDescent="0.2">
      <c r="A1" s="39" t="s">
        <v>39</v>
      </c>
      <c r="B1" s="40" t="s">
        <v>2</v>
      </c>
      <c r="C1" s="40" t="s">
        <v>40</v>
      </c>
      <c r="D1" s="40" t="s">
        <v>48</v>
      </c>
      <c r="E1" s="40" t="s">
        <v>51</v>
      </c>
      <c r="F1" s="40" t="s">
        <v>42</v>
      </c>
      <c r="G1" s="40" t="s">
        <v>41</v>
      </c>
      <c r="H1" s="40" t="s">
        <v>117</v>
      </c>
    </row>
    <row r="2" spans="1:8" x14ac:dyDescent="0.2">
      <c r="A2" s="8" t="s">
        <v>31</v>
      </c>
      <c r="B2" s="8">
        <v>44030</v>
      </c>
      <c r="C2" s="26">
        <v>43377</v>
      </c>
      <c r="D2" s="8">
        <v>8060</v>
      </c>
      <c r="E2" s="8">
        <v>108</v>
      </c>
      <c r="F2" s="8" t="s">
        <v>91</v>
      </c>
      <c r="G2" s="8">
        <v>60</v>
      </c>
      <c r="H2" s="8">
        <v>1680</v>
      </c>
    </row>
    <row r="3" spans="1:8" x14ac:dyDescent="0.2">
      <c r="A3" s="8" t="s">
        <v>31</v>
      </c>
      <c r="B3" s="8">
        <v>44030</v>
      </c>
      <c r="C3" s="26">
        <v>43377</v>
      </c>
      <c r="D3" s="8">
        <v>8060</v>
      </c>
      <c r="E3" s="8">
        <v>109</v>
      </c>
      <c r="F3" s="8">
        <v>1</v>
      </c>
      <c r="G3" s="8">
        <v>60</v>
      </c>
      <c r="H3" s="8">
        <v>1680</v>
      </c>
    </row>
    <row r="4" spans="1:8" x14ac:dyDescent="0.2">
      <c r="A4" s="8" t="s">
        <v>31</v>
      </c>
      <c r="B4" s="8">
        <v>44032</v>
      </c>
      <c r="C4" s="26">
        <v>43380</v>
      </c>
      <c r="D4" s="8">
        <v>8060</v>
      </c>
      <c r="E4" s="8">
        <v>108</v>
      </c>
      <c r="F4" s="8" t="s">
        <v>91</v>
      </c>
      <c r="G4" s="8">
        <v>60</v>
      </c>
      <c r="H4" s="8">
        <v>1680</v>
      </c>
    </row>
    <row r="5" spans="1:8" x14ac:dyDescent="0.2">
      <c r="A5" s="8" t="s">
        <v>31</v>
      </c>
      <c r="B5" s="8">
        <v>44032</v>
      </c>
      <c r="C5" s="26">
        <v>43380</v>
      </c>
      <c r="D5" s="8">
        <v>8060</v>
      </c>
      <c r="E5" s="8">
        <v>109</v>
      </c>
      <c r="G5" s="8">
        <v>70</v>
      </c>
      <c r="H5" s="8">
        <v>1960</v>
      </c>
    </row>
    <row r="6" spans="1:8" x14ac:dyDescent="0.2">
      <c r="A6" s="8" t="s">
        <v>31</v>
      </c>
      <c r="B6" s="8">
        <v>44031</v>
      </c>
      <c r="C6" s="26">
        <v>43381</v>
      </c>
      <c r="D6" s="8">
        <v>8050</v>
      </c>
      <c r="E6" s="8">
        <v>108</v>
      </c>
      <c r="F6" s="8" t="s">
        <v>91</v>
      </c>
      <c r="G6" s="8">
        <v>60</v>
      </c>
      <c r="H6" s="8">
        <v>1680</v>
      </c>
    </row>
    <row r="7" spans="1:8" x14ac:dyDescent="0.2">
      <c r="A7" s="8" t="s">
        <v>31</v>
      </c>
      <c r="B7" s="8">
        <v>44031</v>
      </c>
      <c r="C7" s="26">
        <v>43381</v>
      </c>
      <c r="D7" s="8">
        <v>8050</v>
      </c>
      <c r="E7" s="8">
        <v>109</v>
      </c>
      <c r="F7" s="8" t="s">
        <v>91</v>
      </c>
      <c r="G7" s="8">
        <v>50</v>
      </c>
      <c r="H7" s="8">
        <v>1400</v>
      </c>
    </row>
    <row r="8" spans="1:8" x14ac:dyDescent="0.2">
      <c r="A8" s="8" t="s">
        <v>31</v>
      </c>
      <c r="B8" s="8">
        <v>44031</v>
      </c>
      <c r="C8" s="26">
        <v>43381</v>
      </c>
      <c r="D8" s="8">
        <v>8050</v>
      </c>
      <c r="E8" s="8">
        <v>110</v>
      </c>
      <c r="F8" s="8" t="s">
        <v>91</v>
      </c>
      <c r="G8" s="8">
        <v>60</v>
      </c>
      <c r="H8" s="8">
        <v>3600</v>
      </c>
    </row>
    <row r="9" spans="1:8" x14ac:dyDescent="0.2">
      <c r="A9" s="8" t="s">
        <v>31</v>
      </c>
      <c r="B9" s="8">
        <v>48112</v>
      </c>
      <c r="C9" s="26">
        <v>43384</v>
      </c>
      <c r="D9" s="8">
        <v>8060</v>
      </c>
      <c r="E9" s="8">
        <v>109</v>
      </c>
      <c r="G9" s="8">
        <v>60</v>
      </c>
      <c r="H9" s="8">
        <v>1680</v>
      </c>
    </row>
    <row r="10" spans="1:8" x14ac:dyDescent="0.2">
      <c r="A10" s="8" t="s">
        <v>31</v>
      </c>
      <c r="B10" s="8">
        <v>48112</v>
      </c>
      <c r="C10" s="26">
        <v>43384</v>
      </c>
      <c r="D10" s="8">
        <v>8060</v>
      </c>
      <c r="E10" s="8">
        <v>110</v>
      </c>
      <c r="F10" s="8" t="s">
        <v>91</v>
      </c>
      <c r="G10" s="8">
        <v>50</v>
      </c>
      <c r="H10" s="8">
        <v>3000</v>
      </c>
    </row>
    <row r="11" spans="1:8" x14ac:dyDescent="0.2">
      <c r="A11" s="8" t="s">
        <v>31</v>
      </c>
      <c r="B11" s="8">
        <v>48114</v>
      </c>
      <c r="C11" s="26">
        <v>43384</v>
      </c>
      <c r="D11" s="8">
        <v>8050</v>
      </c>
      <c r="E11" s="8">
        <v>109</v>
      </c>
      <c r="G11" s="8">
        <v>60</v>
      </c>
      <c r="H11" s="8">
        <v>1680</v>
      </c>
    </row>
    <row r="12" spans="1:8" x14ac:dyDescent="0.2">
      <c r="A12" s="8" t="s">
        <v>31</v>
      </c>
      <c r="B12" s="8">
        <v>48114</v>
      </c>
      <c r="C12" s="26">
        <v>43384</v>
      </c>
      <c r="D12" s="8">
        <v>8050</v>
      </c>
      <c r="E12" s="8">
        <v>110</v>
      </c>
      <c r="G12" s="8">
        <v>60</v>
      </c>
      <c r="H12" s="8">
        <v>3600</v>
      </c>
    </row>
    <row r="13" spans="1:8" x14ac:dyDescent="0.2">
      <c r="A13" s="8" t="s">
        <v>31</v>
      </c>
      <c r="B13" s="8">
        <v>48114</v>
      </c>
      <c r="C13" s="26">
        <v>43384</v>
      </c>
      <c r="D13" s="8">
        <v>8050</v>
      </c>
      <c r="E13" s="8">
        <v>111</v>
      </c>
      <c r="G13" s="8">
        <v>80</v>
      </c>
      <c r="H13" s="8">
        <v>1600</v>
      </c>
    </row>
    <row r="14" spans="1:8" x14ac:dyDescent="0.2">
      <c r="A14" s="8" t="s">
        <v>31</v>
      </c>
      <c r="B14" s="8">
        <v>48116</v>
      </c>
      <c r="C14" s="26">
        <v>43384</v>
      </c>
      <c r="D14" s="8">
        <v>8060</v>
      </c>
      <c r="E14" s="8">
        <v>109</v>
      </c>
      <c r="G14" s="8">
        <v>60</v>
      </c>
      <c r="H14" s="8">
        <v>1680</v>
      </c>
    </row>
    <row r="15" spans="1:8" x14ac:dyDescent="0.2">
      <c r="A15" s="8" t="s">
        <v>31</v>
      </c>
      <c r="B15" s="8">
        <v>48116</v>
      </c>
      <c r="C15" s="26">
        <v>43384</v>
      </c>
      <c r="D15" s="8">
        <v>8060</v>
      </c>
      <c r="E15" s="8">
        <v>110</v>
      </c>
      <c r="G15" s="8">
        <v>60</v>
      </c>
      <c r="H15" s="8">
        <v>3600</v>
      </c>
    </row>
    <row r="16" spans="1:8" x14ac:dyDescent="0.2">
      <c r="A16" s="8" t="s">
        <v>31</v>
      </c>
      <c r="B16" s="8">
        <v>45442</v>
      </c>
      <c r="C16" s="26">
        <v>43388</v>
      </c>
      <c r="D16" s="8">
        <v>8050</v>
      </c>
      <c r="E16" s="8">
        <v>108</v>
      </c>
      <c r="G16" s="8">
        <v>50</v>
      </c>
      <c r="H16" s="8">
        <v>1400</v>
      </c>
    </row>
    <row r="17" spans="1:8" x14ac:dyDescent="0.2">
      <c r="A17" s="8" t="s">
        <v>31</v>
      </c>
      <c r="B17" s="8">
        <v>45442</v>
      </c>
      <c r="C17" s="26">
        <v>43388</v>
      </c>
      <c r="D17" s="8">
        <v>8050</v>
      </c>
      <c r="E17" s="8">
        <v>109</v>
      </c>
      <c r="F17" s="8">
        <v>1</v>
      </c>
      <c r="G17" s="8">
        <v>60</v>
      </c>
      <c r="H17" s="8">
        <v>1680</v>
      </c>
    </row>
    <row r="18" spans="1:8" x14ac:dyDescent="0.2">
      <c r="A18" s="8" t="s">
        <v>31</v>
      </c>
      <c r="B18" s="8">
        <v>45444</v>
      </c>
      <c r="C18" s="26">
        <v>43388</v>
      </c>
      <c r="D18" s="8">
        <v>8060</v>
      </c>
      <c r="E18" s="8">
        <v>108</v>
      </c>
      <c r="G18" s="8">
        <v>60</v>
      </c>
      <c r="H18" s="8">
        <v>1680</v>
      </c>
    </row>
    <row r="19" spans="1:8" x14ac:dyDescent="0.2">
      <c r="A19" s="8" t="s">
        <v>31</v>
      </c>
      <c r="B19" s="8">
        <v>45444</v>
      </c>
      <c r="C19" s="26">
        <v>43388</v>
      </c>
      <c r="D19" s="8">
        <v>8060</v>
      </c>
      <c r="E19" s="8">
        <v>109</v>
      </c>
      <c r="G19" s="8">
        <v>70</v>
      </c>
      <c r="H19" s="8">
        <v>1960</v>
      </c>
    </row>
    <row r="20" spans="1:8" x14ac:dyDescent="0.2">
      <c r="A20" s="8" t="s">
        <v>31</v>
      </c>
      <c r="B20" s="8">
        <v>45444</v>
      </c>
      <c r="C20" s="26">
        <v>43388</v>
      </c>
      <c r="D20" s="8">
        <v>8060</v>
      </c>
      <c r="E20" s="8">
        <v>110</v>
      </c>
      <c r="G20" s="8">
        <v>60</v>
      </c>
      <c r="H20" s="8">
        <v>3600</v>
      </c>
    </row>
    <row r="21" spans="1:8" x14ac:dyDescent="0.2">
      <c r="A21" s="8" t="s">
        <v>31</v>
      </c>
      <c r="B21" s="8">
        <v>45446</v>
      </c>
      <c r="C21" s="26">
        <v>43388</v>
      </c>
      <c r="D21" s="8">
        <v>8050</v>
      </c>
      <c r="E21" s="8">
        <v>111</v>
      </c>
      <c r="G21" s="8">
        <v>80</v>
      </c>
      <c r="H21" s="8">
        <v>1600</v>
      </c>
    </row>
    <row r="22" spans="1:8" x14ac:dyDescent="0.2">
      <c r="A22" s="8" t="s">
        <v>31</v>
      </c>
      <c r="B22" s="8">
        <v>45446</v>
      </c>
      <c r="C22" s="26">
        <v>43388</v>
      </c>
      <c r="D22" s="8">
        <v>8050</v>
      </c>
      <c r="E22" s="8">
        <v>108</v>
      </c>
      <c r="G22" s="8">
        <v>50</v>
      </c>
      <c r="H22" s="8">
        <v>1400</v>
      </c>
    </row>
    <row r="23" spans="1:8" x14ac:dyDescent="0.2">
      <c r="A23" s="8" t="s">
        <v>31</v>
      </c>
      <c r="B23" s="8">
        <v>44015</v>
      </c>
      <c r="C23" s="26">
        <v>43383</v>
      </c>
      <c r="D23" s="8">
        <v>8060</v>
      </c>
      <c r="E23" s="8">
        <v>108</v>
      </c>
      <c r="G23" s="8">
        <v>60</v>
      </c>
      <c r="H23" s="8">
        <v>1680</v>
      </c>
    </row>
    <row r="24" spans="1:8" x14ac:dyDescent="0.2">
      <c r="A24" s="8" t="s">
        <v>31</v>
      </c>
      <c r="B24" s="8">
        <v>44015</v>
      </c>
      <c r="C24" s="26">
        <v>43383</v>
      </c>
      <c r="D24" s="8">
        <v>8060</v>
      </c>
      <c r="E24" s="8">
        <v>109</v>
      </c>
      <c r="G24" s="8">
        <v>70</v>
      </c>
      <c r="H24" s="8">
        <v>1960</v>
      </c>
    </row>
    <row r="25" spans="1:8" x14ac:dyDescent="0.2">
      <c r="A25" s="8" t="s">
        <v>31</v>
      </c>
      <c r="B25" s="8">
        <v>44017</v>
      </c>
      <c r="C25" s="26">
        <v>43386</v>
      </c>
      <c r="D25" s="8">
        <v>8060</v>
      </c>
      <c r="E25" s="8">
        <v>108</v>
      </c>
      <c r="G25" s="8">
        <v>70</v>
      </c>
      <c r="H25" s="8">
        <v>1960</v>
      </c>
    </row>
    <row r="26" spans="1:8" x14ac:dyDescent="0.2">
      <c r="A26" s="8" t="s">
        <v>31</v>
      </c>
      <c r="B26" s="8">
        <v>44017</v>
      </c>
      <c r="C26" s="26">
        <v>43386</v>
      </c>
      <c r="D26" s="8">
        <v>8060</v>
      </c>
      <c r="E26" s="8">
        <v>109</v>
      </c>
      <c r="G26" s="8">
        <v>70</v>
      </c>
      <c r="H26" s="8">
        <v>1960</v>
      </c>
    </row>
    <row r="27" spans="1:8" x14ac:dyDescent="0.2">
      <c r="A27" s="8" t="s">
        <v>31</v>
      </c>
      <c r="B27" s="8">
        <v>44016</v>
      </c>
      <c r="C27" s="26">
        <v>43387</v>
      </c>
      <c r="D27" s="8">
        <v>8050</v>
      </c>
      <c r="E27" s="8">
        <v>108</v>
      </c>
      <c r="G27" s="8">
        <v>70</v>
      </c>
      <c r="H27" s="8">
        <v>1960</v>
      </c>
    </row>
    <row r="28" spans="1:8" x14ac:dyDescent="0.2">
      <c r="A28" s="8" t="s">
        <v>31</v>
      </c>
      <c r="B28" s="8">
        <v>44016</v>
      </c>
      <c r="C28" s="26">
        <v>43387</v>
      </c>
      <c r="D28" s="8">
        <v>8050</v>
      </c>
      <c r="E28" s="8">
        <v>109</v>
      </c>
      <c r="F28" s="8">
        <v>1</v>
      </c>
      <c r="G28" s="8">
        <v>60</v>
      </c>
      <c r="H28" s="8">
        <v>1680</v>
      </c>
    </row>
    <row r="29" spans="1:8" x14ac:dyDescent="0.2">
      <c r="A29" s="8" t="s">
        <v>31</v>
      </c>
      <c r="B29" s="8">
        <v>44016</v>
      </c>
      <c r="C29" s="26">
        <v>43387</v>
      </c>
      <c r="D29" s="8">
        <v>8050</v>
      </c>
      <c r="E29" s="8">
        <v>110</v>
      </c>
      <c r="G29" s="8">
        <v>50</v>
      </c>
      <c r="H29" s="8">
        <v>3000</v>
      </c>
    </row>
    <row r="30" spans="1:8" x14ac:dyDescent="0.2">
      <c r="A30" s="8" t="s">
        <v>31</v>
      </c>
      <c r="B30" s="8">
        <v>48097</v>
      </c>
      <c r="C30" s="26">
        <v>43390</v>
      </c>
      <c r="D30" s="8">
        <v>8060</v>
      </c>
      <c r="E30" s="8">
        <v>109</v>
      </c>
      <c r="G30" s="8">
        <v>60</v>
      </c>
      <c r="H30" s="8">
        <v>1680</v>
      </c>
    </row>
    <row r="31" spans="1:8" x14ac:dyDescent="0.2">
      <c r="A31" s="8" t="s">
        <v>31</v>
      </c>
      <c r="B31" s="8">
        <v>48097</v>
      </c>
      <c r="C31" s="26">
        <v>43390</v>
      </c>
      <c r="D31" s="8">
        <v>8060</v>
      </c>
      <c r="E31" s="8">
        <v>110</v>
      </c>
      <c r="G31" s="8">
        <v>70</v>
      </c>
      <c r="H31" s="8">
        <v>4200</v>
      </c>
    </row>
    <row r="32" spans="1:8" x14ac:dyDescent="0.2">
      <c r="A32" s="8" t="s">
        <v>31</v>
      </c>
      <c r="B32" s="8">
        <v>48099</v>
      </c>
      <c r="C32" s="26">
        <v>43390</v>
      </c>
      <c r="D32" s="8">
        <v>8050</v>
      </c>
      <c r="E32" s="8">
        <v>109</v>
      </c>
      <c r="F32" s="8">
        <v>1</v>
      </c>
      <c r="G32" s="8">
        <v>60</v>
      </c>
      <c r="H32" s="8">
        <v>1680</v>
      </c>
    </row>
    <row r="33" spans="1:8" x14ac:dyDescent="0.2">
      <c r="A33" s="8" t="s">
        <v>31</v>
      </c>
      <c r="B33" s="8">
        <v>48099</v>
      </c>
      <c r="C33" s="26">
        <v>43390</v>
      </c>
      <c r="D33" s="8">
        <v>8050</v>
      </c>
      <c r="E33" s="8">
        <v>110</v>
      </c>
      <c r="G33" s="8">
        <v>60</v>
      </c>
      <c r="H33" s="8">
        <v>3600</v>
      </c>
    </row>
    <row r="34" spans="1:8" x14ac:dyDescent="0.2">
      <c r="A34" s="8" t="s">
        <v>31</v>
      </c>
      <c r="B34" s="8">
        <v>48099</v>
      </c>
      <c r="C34" s="26">
        <v>43390</v>
      </c>
      <c r="D34" s="8">
        <v>8050</v>
      </c>
      <c r="E34" s="8">
        <v>111</v>
      </c>
      <c r="G34" s="8">
        <v>60</v>
      </c>
      <c r="H34" s="8">
        <v>1200</v>
      </c>
    </row>
    <row r="35" spans="1:8" x14ac:dyDescent="0.2">
      <c r="A35" s="8" t="s">
        <v>31</v>
      </c>
      <c r="B35" s="8">
        <v>48101</v>
      </c>
      <c r="C35" s="26">
        <v>43390</v>
      </c>
      <c r="D35" s="8">
        <v>8060</v>
      </c>
      <c r="E35" s="8">
        <v>109</v>
      </c>
      <c r="G35" s="8">
        <v>60</v>
      </c>
      <c r="H35" s="8">
        <v>1680</v>
      </c>
    </row>
    <row r="36" spans="1:8" x14ac:dyDescent="0.2">
      <c r="A36" s="8" t="s">
        <v>31</v>
      </c>
      <c r="B36" s="8">
        <v>48101</v>
      </c>
      <c r="C36" s="26">
        <v>43390</v>
      </c>
      <c r="D36" s="8">
        <v>8060</v>
      </c>
      <c r="E36" s="8">
        <v>110</v>
      </c>
      <c r="G36" s="8">
        <v>50</v>
      </c>
      <c r="H36" s="8">
        <v>3000</v>
      </c>
    </row>
    <row r="37" spans="1:8" x14ac:dyDescent="0.2">
      <c r="A37" s="8" t="s">
        <v>31</v>
      </c>
      <c r="B37" s="8">
        <v>45427</v>
      </c>
      <c r="C37" s="26">
        <v>43394</v>
      </c>
      <c r="D37" s="8">
        <v>8050</v>
      </c>
      <c r="E37" s="8">
        <v>108</v>
      </c>
      <c r="G37" s="8">
        <v>70</v>
      </c>
      <c r="H37" s="8">
        <v>1960</v>
      </c>
    </row>
    <row r="38" spans="1:8" x14ac:dyDescent="0.2">
      <c r="A38" s="8" t="s">
        <v>31</v>
      </c>
      <c r="B38" s="8">
        <v>45427</v>
      </c>
      <c r="C38" s="26">
        <v>43394</v>
      </c>
      <c r="D38" s="8">
        <v>8050</v>
      </c>
      <c r="E38" s="8">
        <v>109</v>
      </c>
      <c r="G38" s="8">
        <v>60</v>
      </c>
      <c r="H38" s="8">
        <v>1680</v>
      </c>
    </row>
    <row r="39" spans="1:8" x14ac:dyDescent="0.2">
      <c r="A39" s="8" t="s">
        <v>31</v>
      </c>
      <c r="B39" s="8">
        <v>45429</v>
      </c>
      <c r="C39" s="26">
        <v>43394</v>
      </c>
      <c r="D39" s="8">
        <v>8060</v>
      </c>
      <c r="E39" s="8">
        <v>108</v>
      </c>
      <c r="G39" s="8">
        <v>80</v>
      </c>
      <c r="H39" s="8">
        <v>2240</v>
      </c>
    </row>
    <row r="40" spans="1:8" x14ac:dyDescent="0.2">
      <c r="A40" s="8" t="s">
        <v>31</v>
      </c>
      <c r="B40" s="8">
        <v>45429</v>
      </c>
      <c r="C40" s="26">
        <v>43394</v>
      </c>
      <c r="D40" s="8">
        <v>8060</v>
      </c>
      <c r="E40" s="8">
        <v>109</v>
      </c>
      <c r="F40" s="8">
        <v>2</v>
      </c>
      <c r="G40" s="8">
        <v>80</v>
      </c>
      <c r="H40" s="8">
        <v>2240</v>
      </c>
    </row>
    <row r="41" spans="1:8" x14ac:dyDescent="0.2">
      <c r="A41" s="8" t="s">
        <v>31</v>
      </c>
      <c r="B41" s="8">
        <v>45429</v>
      </c>
      <c r="C41" s="26">
        <v>43394</v>
      </c>
      <c r="D41" s="8">
        <v>8060</v>
      </c>
      <c r="E41" s="8">
        <v>110</v>
      </c>
      <c r="G41" s="8">
        <v>50</v>
      </c>
      <c r="H41" s="8">
        <v>3000</v>
      </c>
    </row>
    <row r="42" spans="1:8" x14ac:dyDescent="0.2">
      <c r="A42" s="8" t="s">
        <v>31</v>
      </c>
      <c r="B42" s="8">
        <v>45431</v>
      </c>
      <c r="C42" s="26">
        <v>43394</v>
      </c>
      <c r="D42" s="8">
        <v>8050</v>
      </c>
      <c r="E42" s="8">
        <v>111</v>
      </c>
      <c r="G42" s="8">
        <v>60</v>
      </c>
      <c r="H42" s="8">
        <v>1200</v>
      </c>
    </row>
    <row r="43" spans="1:8" x14ac:dyDescent="0.2">
      <c r="A43" s="8" t="s">
        <v>31</v>
      </c>
      <c r="B43" s="8">
        <v>45431</v>
      </c>
      <c r="C43" s="26">
        <v>43394</v>
      </c>
      <c r="D43" s="8">
        <v>8050</v>
      </c>
      <c r="E43" s="8">
        <v>108</v>
      </c>
      <c r="G43" s="8">
        <v>60</v>
      </c>
      <c r="H43" s="8">
        <v>1680</v>
      </c>
    </row>
    <row r="44" spans="1:8" x14ac:dyDescent="0.2">
      <c r="A44" s="8" t="s">
        <v>28</v>
      </c>
      <c r="B44" s="8">
        <v>66030</v>
      </c>
      <c r="C44" s="26">
        <v>43377</v>
      </c>
      <c r="D44" s="8">
        <v>8010</v>
      </c>
      <c r="E44" s="8">
        <v>103</v>
      </c>
      <c r="F44" s="8" t="s">
        <v>91</v>
      </c>
      <c r="G44" s="8">
        <v>120</v>
      </c>
      <c r="H44" s="8">
        <v>1440</v>
      </c>
    </row>
    <row r="45" spans="1:8" x14ac:dyDescent="0.2">
      <c r="A45" s="8" t="s">
        <v>28</v>
      </c>
      <c r="B45" s="8">
        <v>66030</v>
      </c>
      <c r="C45" s="26">
        <v>43377</v>
      </c>
      <c r="D45" s="8">
        <v>8010</v>
      </c>
      <c r="E45" s="8">
        <v>104</v>
      </c>
      <c r="G45" s="8">
        <v>150</v>
      </c>
      <c r="H45" s="8">
        <v>1800</v>
      </c>
    </row>
    <row r="46" spans="1:8" x14ac:dyDescent="0.2">
      <c r="A46" s="8" t="s">
        <v>28</v>
      </c>
      <c r="B46" s="8">
        <v>66032</v>
      </c>
      <c r="C46" s="26">
        <v>43380</v>
      </c>
      <c r="D46" s="8">
        <v>8010</v>
      </c>
      <c r="E46" s="8">
        <v>103</v>
      </c>
      <c r="G46" s="8">
        <v>170</v>
      </c>
      <c r="H46" s="8">
        <v>2040</v>
      </c>
    </row>
    <row r="47" spans="1:8" x14ac:dyDescent="0.2">
      <c r="A47" s="8" t="s">
        <v>28</v>
      </c>
      <c r="B47" s="8">
        <v>66032</v>
      </c>
      <c r="C47" s="26">
        <v>43380</v>
      </c>
      <c r="D47" s="8">
        <v>8010</v>
      </c>
      <c r="E47" s="8">
        <v>104</v>
      </c>
      <c r="G47" s="8">
        <v>140</v>
      </c>
      <c r="H47" s="8">
        <v>1680</v>
      </c>
    </row>
    <row r="48" spans="1:8" x14ac:dyDescent="0.2">
      <c r="A48" s="8" t="s">
        <v>28</v>
      </c>
      <c r="B48" s="8">
        <v>66031</v>
      </c>
      <c r="C48" s="26">
        <v>43381</v>
      </c>
      <c r="D48" s="8">
        <v>8020</v>
      </c>
      <c r="E48" s="8">
        <v>103</v>
      </c>
      <c r="F48" s="8">
        <v>1</v>
      </c>
      <c r="G48" s="8">
        <v>140</v>
      </c>
      <c r="H48" s="8">
        <v>1680</v>
      </c>
    </row>
    <row r="49" spans="1:8" x14ac:dyDescent="0.2">
      <c r="A49" s="8" t="s">
        <v>28</v>
      </c>
      <c r="B49" s="8">
        <v>66031</v>
      </c>
      <c r="C49" s="26">
        <v>43381</v>
      </c>
      <c r="D49" s="8">
        <v>8020</v>
      </c>
      <c r="E49" s="8">
        <v>104</v>
      </c>
      <c r="G49" s="8">
        <v>150</v>
      </c>
      <c r="H49" s="8">
        <v>1800</v>
      </c>
    </row>
    <row r="50" spans="1:8" x14ac:dyDescent="0.2">
      <c r="A50" s="8" t="s">
        <v>28</v>
      </c>
      <c r="B50" s="8">
        <v>66031</v>
      </c>
      <c r="C50" s="26">
        <v>43381</v>
      </c>
      <c r="D50" s="8">
        <v>8020</v>
      </c>
      <c r="E50" s="8">
        <v>105</v>
      </c>
      <c r="G50" s="8">
        <v>100</v>
      </c>
      <c r="H50" s="8">
        <v>1000</v>
      </c>
    </row>
    <row r="51" spans="1:8" x14ac:dyDescent="0.2">
      <c r="A51" s="8" t="s">
        <v>28</v>
      </c>
      <c r="B51" s="8">
        <v>68112</v>
      </c>
      <c r="C51" s="26">
        <v>43384</v>
      </c>
      <c r="D51" s="8">
        <v>8010</v>
      </c>
      <c r="E51" s="8">
        <v>104</v>
      </c>
      <c r="F51" s="8">
        <v>4</v>
      </c>
      <c r="G51" s="8">
        <v>180</v>
      </c>
      <c r="H51" s="8">
        <v>2160</v>
      </c>
    </row>
    <row r="52" spans="1:8" x14ac:dyDescent="0.2">
      <c r="A52" s="8" t="s">
        <v>28</v>
      </c>
      <c r="B52" s="8">
        <v>68112</v>
      </c>
      <c r="C52" s="26">
        <v>43384</v>
      </c>
      <c r="D52" s="8">
        <v>8010</v>
      </c>
      <c r="E52" s="8">
        <v>105</v>
      </c>
      <c r="G52" s="8">
        <v>120</v>
      </c>
      <c r="H52" s="8">
        <v>1200</v>
      </c>
    </row>
    <row r="53" spans="1:8" x14ac:dyDescent="0.2">
      <c r="A53" s="8" t="s">
        <v>28</v>
      </c>
      <c r="B53" s="8">
        <v>68116</v>
      </c>
      <c r="C53" s="26">
        <v>43384</v>
      </c>
      <c r="D53" s="8">
        <v>8020</v>
      </c>
      <c r="E53" s="8">
        <v>104</v>
      </c>
      <c r="G53" s="8">
        <v>150</v>
      </c>
      <c r="H53" s="8">
        <v>1800</v>
      </c>
    </row>
    <row r="54" spans="1:8" x14ac:dyDescent="0.2">
      <c r="A54" s="8" t="s">
        <v>28</v>
      </c>
      <c r="B54" s="8">
        <v>68116</v>
      </c>
      <c r="C54" s="26">
        <v>43384</v>
      </c>
      <c r="D54" s="8">
        <v>8020</v>
      </c>
      <c r="E54" s="8">
        <v>105</v>
      </c>
      <c r="G54" s="8">
        <v>190</v>
      </c>
      <c r="H54" s="8">
        <v>1900</v>
      </c>
    </row>
    <row r="55" spans="1:8" x14ac:dyDescent="0.2">
      <c r="A55" s="8" t="s">
        <v>28</v>
      </c>
      <c r="B55" s="8">
        <v>68116</v>
      </c>
      <c r="C55" s="26">
        <v>43384</v>
      </c>
      <c r="D55" s="8">
        <v>8020</v>
      </c>
      <c r="E55" s="8">
        <v>107</v>
      </c>
      <c r="F55" s="8">
        <v>2</v>
      </c>
      <c r="G55" s="8">
        <v>160</v>
      </c>
      <c r="H55" s="8">
        <v>800</v>
      </c>
    </row>
    <row r="56" spans="1:8" x14ac:dyDescent="0.2">
      <c r="A56" s="8" t="s">
        <v>28</v>
      </c>
      <c r="B56" s="8">
        <v>68116</v>
      </c>
      <c r="C56" s="26">
        <v>43384</v>
      </c>
      <c r="D56" s="8">
        <v>8010</v>
      </c>
      <c r="E56" s="8">
        <v>104</v>
      </c>
      <c r="G56" s="8">
        <v>160</v>
      </c>
      <c r="H56" s="8">
        <v>1920</v>
      </c>
    </row>
    <row r="57" spans="1:8" x14ac:dyDescent="0.2">
      <c r="A57" s="8" t="s">
        <v>28</v>
      </c>
      <c r="B57" s="8">
        <v>68116</v>
      </c>
      <c r="C57" s="26">
        <v>43384</v>
      </c>
      <c r="D57" s="8">
        <v>8010</v>
      </c>
      <c r="E57" s="8">
        <v>105</v>
      </c>
      <c r="G57" s="8">
        <v>190</v>
      </c>
      <c r="H57" s="8">
        <v>1900</v>
      </c>
    </row>
    <row r="58" spans="1:8" x14ac:dyDescent="0.2">
      <c r="A58" s="8" t="s">
        <v>28</v>
      </c>
      <c r="B58" s="8">
        <v>65662</v>
      </c>
      <c r="C58" s="26">
        <v>43388</v>
      </c>
      <c r="D58" s="8">
        <v>8020</v>
      </c>
      <c r="E58" s="8">
        <v>103</v>
      </c>
      <c r="G58" s="8">
        <v>120</v>
      </c>
      <c r="H58" s="8">
        <v>1440</v>
      </c>
    </row>
    <row r="59" spans="1:8" x14ac:dyDescent="0.2">
      <c r="A59" s="8" t="s">
        <v>28</v>
      </c>
      <c r="B59" s="8">
        <v>65662</v>
      </c>
      <c r="C59" s="26">
        <v>43388</v>
      </c>
      <c r="D59" s="8">
        <v>8020</v>
      </c>
      <c r="E59" s="8">
        <v>104</v>
      </c>
      <c r="G59" s="8">
        <v>110</v>
      </c>
      <c r="H59" s="8">
        <v>1320</v>
      </c>
    </row>
    <row r="60" spans="1:8" x14ac:dyDescent="0.2">
      <c r="A60" s="8" t="s">
        <v>28</v>
      </c>
      <c r="B60" s="8">
        <v>65666</v>
      </c>
      <c r="C60" s="26">
        <v>43388</v>
      </c>
      <c r="D60" s="8">
        <v>8010</v>
      </c>
      <c r="E60" s="8">
        <v>103</v>
      </c>
      <c r="G60" s="8">
        <v>120</v>
      </c>
      <c r="H60" s="8">
        <v>1440</v>
      </c>
    </row>
    <row r="61" spans="1:8" x14ac:dyDescent="0.2">
      <c r="A61" s="8" t="s">
        <v>28</v>
      </c>
      <c r="B61" s="8">
        <v>65666</v>
      </c>
      <c r="C61" s="26">
        <v>43388</v>
      </c>
      <c r="D61" s="8">
        <v>8010</v>
      </c>
      <c r="E61" s="8">
        <v>104</v>
      </c>
      <c r="G61" s="8">
        <v>140</v>
      </c>
      <c r="H61" s="8">
        <v>1680</v>
      </c>
    </row>
    <row r="62" spans="1:8" x14ac:dyDescent="0.2">
      <c r="A62" s="8" t="s">
        <v>28</v>
      </c>
      <c r="B62" s="8">
        <v>65666</v>
      </c>
      <c r="C62" s="26">
        <v>43388</v>
      </c>
      <c r="D62" s="8">
        <v>8010</v>
      </c>
      <c r="E62" s="8">
        <v>105</v>
      </c>
      <c r="G62" s="8">
        <v>160</v>
      </c>
      <c r="H62" s="8">
        <v>1600</v>
      </c>
    </row>
    <row r="63" spans="1:8" x14ac:dyDescent="0.2">
      <c r="A63" s="8" t="s">
        <v>28</v>
      </c>
      <c r="B63" s="8">
        <v>65666</v>
      </c>
      <c r="C63" s="26">
        <v>43388</v>
      </c>
      <c r="D63" s="8">
        <v>8020</v>
      </c>
      <c r="E63" s="8">
        <v>107</v>
      </c>
      <c r="G63" s="8">
        <v>120</v>
      </c>
      <c r="H63" s="8">
        <v>600</v>
      </c>
    </row>
    <row r="64" spans="1:8" x14ac:dyDescent="0.2">
      <c r="A64" s="8" t="s">
        <v>28</v>
      </c>
      <c r="B64" s="8">
        <v>65666</v>
      </c>
      <c r="C64" s="26">
        <v>43388</v>
      </c>
      <c r="D64" s="8">
        <v>8020</v>
      </c>
      <c r="E64" s="8">
        <v>103</v>
      </c>
      <c r="G64" s="8">
        <v>200</v>
      </c>
      <c r="H64" s="8">
        <v>2400</v>
      </c>
    </row>
    <row r="65" spans="1:8" x14ac:dyDescent="0.2">
      <c r="A65" s="8" t="s">
        <v>28</v>
      </c>
      <c r="B65" s="8">
        <v>66015</v>
      </c>
      <c r="C65" s="26">
        <v>43383</v>
      </c>
      <c r="D65" s="8">
        <v>8010</v>
      </c>
      <c r="E65" s="8">
        <v>103</v>
      </c>
      <c r="G65" s="8">
        <v>140</v>
      </c>
      <c r="H65" s="8">
        <v>1680</v>
      </c>
    </row>
    <row r="66" spans="1:8" x14ac:dyDescent="0.2">
      <c r="A66" s="8" t="s">
        <v>28</v>
      </c>
      <c r="B66" s="8">
        <v>66015</v>
      </c>
      <c r="C66" s="26">
        <v>43383</v>
      </c>
      <c r="D66" s="8">
        <v>8010</v>
      </c>
      <c r="E66" s="8">
        <v>104</v>
      </c>
      <c r="G66" s="8">
        <v>140</v>
      </c>
      <c r="H66" s="8">
        <v>1680</v>
      </c>
    </row>
    <row r="67" spans="1:8" x14ac:dyDescent="0.2">
      <c r="A67" s="8" t="s">
        <v>28</v>
      </c>
      <c r="B67" s="8">
        <v>66017</v>
      </c>
      <c r="C67" s="26">
        <v>43386</v>
      </c>
      <c r="D67" s="8">
        <v>8010</v>
      </c>
      <c r="E67" s="8">
        <v>103</v>
      </c>
      <c r="G67" s="8">
        <v>140</v>
      </c>
      <c r="H67" s="8">
        <v>1680</v>
      </c>
    </row>
    <row r="68" spans="1:8" x14ac:dyDescent="0.2">
      <c r="A68" s="8" t="s">
        <v>28</v>
      </c>
      <c r="B68" s="8">
        <v>66017</v>
      </c>
      <c r="C68" s="26">
        <v>43386</v>
      </c>
      <c r="D68" s="8">
        <v>8010</v>
      </c>
      <c r="E68" s="8">
        <v>104</v>
      </c>
      <c r="G68" s="8">
        <v>140</v>
      </c>
      <c r="H68" s="8">
        <v>1680</v>
      </c>
    </row>
    <row r="69" spans="1:8" x14ac:dyDescent="0.2">
      <c r="A69" s="8" t="s">
        <v>28</v>
      </c>
      <c r="B69" s="8">
        <v>66016</v>
      </c>
      <c r="C69" s="26">
        <v>43387</v>
      </c>
      <c r="D69" s="8">
        <v>8020</v>
      </c>
      <c r="E69" s="8">
        <v>103</v>
      </c>
      <c r="G69" s="8">
        <v>120</v>
      </c>
      <c r="H69" s="8">
        <v>1440</v>
      </c>
    </row>
    <row r="70" spans="1:8" x14ac:dyDescent="0.2">
      <c r="A70" s="8" t="s">
        <v>28</v>
      </c>
      <c r="B70" s="8">
        <v>66016</v>
      </c>
      <c r="C70" s="26">
        <v>43387</v>
      </c>
      <c r="D70" s="8">
        <v>8020</v>
      </c>
      <c r="E70" s="8">
        <v>104</v>
      </c>
      <c r="G70" s="8">
        <v>130</v>
      </c>
      <c r="H70" s="8">
        <v>1560</v>
      </c>
    </row>
    <row r="71" spans="1:8" x14ac:dyDescent="0.2">
      <c r="A71" s="8" t="s">
        <v>28</v>
      </c>
      <c r="B71" s="8">
        <v>66016</v>
      </c>
      <c r="C71" s="26">
        <v>43387</v>
      </c>
      <c r="D71" s="8">
        <v>8020</v>
      </c>
      <c r="E71" s="8">
        <v>105</v>
      </c>
      <c r="G71" s="8">
        <v>120</v>
      </c>
      <c r="H71" s="8">
        <v>1200</v>
      </c>
    </row>
    <row r="72" spans="1:8" x14ac:dyDescent="0.2">
      <c r="A72" s="8" t="s">
        <v>28</v>
      </c>
      <c r="B72" s="8">
        <v>68097</v>
      </c>
      <c r="C72" s="26">
        <v>43390</v>
      </c>
      <c r="D72" s="8">
        <v>8010</v>
      </c>
      <c r="E72" s="8">
        <v>104</v>
      </c>
      <c r="G72" s="8">
        <v>140</v>
      </c>
      <c r="H72" s="8">
        <v>1680</v>
      </c>
    </row>
    <row r="73" spans="1:8" x14ac:dyDescent="0.2">
      <c r="A73" s="8" t="s">
        <v>28</v>
      </c>
      <c r="B73" s="8">
        <v>68097</v>
      </c>
      <c r="C73" s="26">
        <v>43390</v>
      </c>
      <c r="D73" s="8">
        <v>8010</v>
      </c>
      <c r="E73" s="8">
        <v>105</v>
      </c>
      <c r="G73" s="8">
        <v>130</v>
      </c>
      <c r="H73" s="8">
        <v>1300</v>
      </c>
    </row>
    <row r="74" spans="1:8" x14ac:dyDescent="0.2">
      <c r="A74" s="8" t="s">
        <v>28</v>
      </c>
      <c r="B74" s="8">
        <v>68099</v>
      </c>
      <c r="C74" s="26">
        <v>43390</v>
      </c>
      <c r="D74" s="8">
        <v>8020</v>
      </c>
      <c r="E74" s="8">
        <v>104</v>
      </c>
      <c r="G74" s="8">
        <v>120</v>
      </c>
      <c r="H74" s="8">
        <v>1440</v>
      </c>
    </row>
    <row r="75" spans="1:8" x14ac:dyDescent="0.2">
      <c r="A75" s="8" t="s">
        <v>28</v>
      </c>
      <c r="B75" s="8">
        <v>68099</v>
      </c>
      <c r="C75" s="26">
        <v>43390</v>
      </c>
      <c r="D75" s="8">
        <v>8020</v>
      </c>
      <c r="E75" s="8">
        <v>105</v>
      </c>
      <c r="F75" s="8">
        <v>2</v>
      </c>
      <c r="G75" s="8">
        <v>140</v>
      </c>
      <c r="H75" s="8">
        <v>1400</v>
      </c>
    </row>
    <row r="76" spans="1:8" x14ac:dyDescent="0.2">
      <c r="A76" s="8" t="s">
        <v>28</v>
      </c>
      <c r="B76" s="8">
        <v>68099</v>
      </c>
      <c r="C76" s="26">
        <v>43390</v>
      </c>
      <c r="D76" s="8">
        <v>8020</v>
      </c>
      <c r="E76" s="8">
        <v>107</v>
      </c>
      <c r="G76" s="8">
        <v>170</v>
      </c>
      <c r="H76" s="8">
        <v>850</v>
      </c>
    </row>
    <row r="77" spans="1:8" x14ac:dyDescent="0.2">
      <c r="A77" s="8" t="s">
        <v>28</v>
      </c>
      <c r="B77" s="8">
        <v>68101</v>
      </c>
      <c r="C77" s="26">
        <v>43390</v>
      </c>
      <c r="D77" s="8">
        <v>8010</v>
      </c>
      <c r="E77" s="8">
        <v>104</v>
      </c>
      <c r="G77" s="8">
        <v>190</v>
      </c>
      <c r="H77" s="8">
        <v>2280</v>
      </c>
    </row>
    <row r="78" spans="1:8" x14ac:dyDescent="0.2">
      <c r="A78" s="8" t="s">
        <v>28</v>
      </c>
      <c r="B78" s="8">
        <v>68101</v>
      </c>
      <c r="C78" s="26">
        <v>43390</v>
      </c>
      <c r="D78" s="8">
        <v>8010</v>
      </c>
      <c r="E78" s="8">
        <v>105</v>
      </c>
      <c r="G78" s="8">
        <v>140</v>
      </c>
      <c r="H78" s="8">
        <v>1400</v>
      </c>
    </row>
    <row r="79" spans="1:8" x14ac:dyDescent="0.2">
      <c r="A79" s="8" t="s">
        <v>28</v>
      </c>
      <c r="B79" s="8">
        <v>65627</v>
      </c>
      <c r="C79" s="26">
        <v>43394</v>
      </c>
      <c r="D79" s="8">
        <v>8020</v>
      </c>
      <c r="E79" s="8">
        <v>103</v>
      </c>
      <c r="G79" s="8">
        <v>140</v>
      </c>
      <c r="H79" s="8">
        <v>1680</v>
      </c>
    </row>
    <row r="80" spans="1:8" x14ac:dyDescent="0.2">
      <c r="A80" s="8" t="s">
        <v>28</v>
      </c>
      <c r="B80" s="8">
        <v>65627</v>
      </c>
      <c r="C80" s="26">
        <v>43394</v>
      </c>
      <c r="D80" s="8">
        <v>8020</v>
      </c>
      <c r="E80" s="8">
        <v>104</v>
      </c>
      <c r="F80" s="8">
        <v>3</v>
      </c>
      <c r="G80" s="8">
        <v>160</v>
      </c>
      <c r="H80" s="8">
        <v>1920</v>
      </c>
    </row>
    <row r="81" spans="1:8" x14ac:dyDescent="0.2">
      <c r="A81" s="8" t="s">
        <v>28</v>
      </c>
      <c r="B81" s="8">
        <v>65629</v>
      </c>
      <c r="C81" s="26">
        <v>43394</v>
      </c>
      <c r="D81" s="8">
        <v>8010</v>
      </c>
      <c r="E81" s="8">
        <v>103</v>
      </c>
      <c r="G81" s="8">
        <v>190</v>
      </c>
      <c r="H81" s="8">
        <v>2280</v>
      </c>
    </row>
    <row r="82" spans="1:8" x14ac:dyDescent="0.2">
      <c r="A82" s="8" t="s">
        <v>28</v>
      </c>
      <c r="B82" s="8">
        <v>65629</v>
      </c>
      <c r="C82" s="26">
        <v>43394</v>
      </c>
      <c r="D82" s="8">
        <v>8010</v>
      </c>
      <c r="E82" s="8">
        <v>104</v>
      </c>
      <c r="G82" s="8">
        <v>130</v>
      </c>
      <c r="H82" s="8">
        <v>1560</v>
      </c>
    </row>
    <row r="83" spans="1:8" x14ac:dyDescent="0.2">
      <c r="A83" s="8" t="s">
        <v>28</v>
      </c>
      <c r="B83" s="8">
        <v>65629</v>
      </c>
      <c r="C83" s="26">
        <v>43394</v>
      </c>
      <c r="D83" s="8">
        <v>8010</v>
      </c>
      <c r="E83" s="8">
        <v>105</v>
      </c>
      <c r="G83" s="8">
        <v>140</v>
      </c>
      <c r="H83" s="8">
        <v>1400</v>
      </c>
    </row>
    <row r="84" spans="1:8" x14ac:dyDescent="0.2">
      <c r="A84" s="8" t="s">
        <v>28</v>
      </c>
      <c r="B84" s="8">
        <v>65631</v>
      </c>
      <c r="C84" s="26">
        <v>43394</v>
      </c>
      <c r="D84" s="8">
        <v>8020</v>
      </c>
      <c r="E84" s="8">
        <v>107</v>
      </c>
      <c r="G84" s="8">
        <v>190</v>
      </c>
      <c r="H84" s="8">
        <v>950</v>
      </c>
    </row>
    <row r="85" spans="1:8" x14ac:dyDescent="0.2">
      <c r="A85" s="8" t="s">
        <v>28</v>
      </c>
      <c r="B85" s="8">
        <v>65631</v>
      </c>
      <c r="C85" s="26">
        <v>43394</v>
      </c>
      <c r="D85" s="8">
        <v>8020</v>
      </c>
      <c r="E85" s="8">
        <v>103</v>
      </c>
      <c r="G85" s="8">
        <v>120</v>
      </c>
      <c r="H85" s="8">
        <v>1440</v>
      </c>
    </row>
    <row r="86" spans="1:8" x14ac:dyDescent="0.2">
      <c r="C86" s="26"/>
    </row>
    <row r="87" spans="1:8" x14ac:dyDescent="0.2">
      <c r="C87" s="26"/>
    </row>
    <row r="88" spans="1:8" x14ac:dyDescent="0.2">
      <c r="C88" s="26"/>
    </row>
    <row r="89" spans="1:8" x14ac:dyDescent="0.2">
      <c r="C89" s="26"/>
    </row>
    <row r="90" spans="1:8" x14ac:dyDescent="0.2">
      <c r="C90" s="26"/>
    </row>
    <row r="91" spans="1:8" x14ac:dyDescent="0.2">
      <c r="C91" s="26"/>
    </row>
    <row r="92" spans="1:8" x14ac:dyDescent="0.2">
      <c r="C92" s="26"/>
    </row>
    <row r="93" spans="1:8" x14ac:dyDescent="0.2">
      <c r="C93" s="26"/>
    </row>
    <row r="94" spans="1:8" x14ac:dyDescent="0.2">
      <c r="C94" s="26"/>
    </row>
    <row r="95" spans="1:8" x14ac:dyDescent="0.2">
      <c r="C95" s="26"/>
    </row>
    <row r="96" spans="1:8" x14ac:dyDescent="0.2">
      <c r="C96" s="26"/>
    </row>
    <row r="97" spans="3:3" x14ac:dyDescent="0.2">
      <c r="C97" s="26"/>
    </row>
    <row r="98" spans="3:3" x14ac:dyDescent="0.2">
      <c r="C98" s="26"/>
    </row>
    <row r="99" spans="3:3" x14ac:dyDescent="0.2">
      <c r="C99" s="26"/>
    </row>
    <row r="100" spans="3:3" x14ac:dyDescent="0.2">
      <c r="C100" s="26"/>
    </row>
    <row r="101" spans="3:3" x14ac:dyDescent="0.2">
      <c r="C101" s="26"/>
    </row>
    <row r="102" spans="3:3" x14ac:dyDescent="0.2">
      <c r="C102" s="26"/>
    </row>
    <row r="103" spans="3:3" x14ac:dyDescent="0.2">
      <c r="C103" s="26"/>
    </row>
    <row r="104" spans="3:3" x14ac:dyDescent="0.2">
      <c r="C104" s="26"/>
    </row>
    <row r="105" spans="3:3" x14ac:dyDescent="0.2">
      <c r="C105" s="26"/>
    </row>
    <row r="106" spans="3:3" x14ac:dyDescent="0.2">
      <c r="C106" s="26"/>
    </row>
    <row r="107" spans="3:3" x14ac:dyDescent="0.2">
      <c r="C107" s="26"/>
    </row>
    <row r="108" spans="3:3" x14ac:dyDescent="0.2">
      <c r="C108" s="26"/>
    </row>
    <row r="109" spans="3:3" x14ac:dyDescent="0.2">
      <c r="C109" s="26"/>
    </row>
    <row r="110" spans="3:3" x14ac:dyDescent="0.2">
      <c r="C110" s="26"/>
    </row>
    <row r="111" spans="3:3" x14ac:dyDescent="0.2">
      <c r="C111" s="26"/>
    </row>
    <row r="112" spans="3:3" x14ac:dyDescent="0.2">
      <c r="C112" s="26"/>
    </row>
    <row r="113" spans="3:3" x14ac:dyDescent="0.2">
      <c r="C113" s="26"/>
    </row>
    <row r="114" spans="3:3" x14ac:dyDescent="0.2">
      <c r="C114" s="26"/>
    </row>
    <row r="115" spans="3:3" x14ac:dyDescent="0.2">
      <c r="C115" s="26"/>
    </row>
    <row r="116" spans="3:3" x14ac:dyDescent="0.2">
      <c r="C116" s="26"/>
    </row>
    <row r="117" spans="3:3" x14ac:dyDescent="0.2">
      <c r="C117" s="26"/>
    </row>
    <row r="118" spans="3:3" x14ac:dyDescent="0.2">
      <c r="C118" s="26"/>
    </row>
    <row r="119" spans="3:3" x14ac:dyDescent="0.2">
      <c r="C119" s="26"/>
    </row>
    <row r="120" spans="3:3" x14ac:dyDescent="0.2">
      <c r="C120" s="26"/>
    </row>
    <row r="121" spans="3:3" x14ac:dyDescent="0.2">
      <c r="C121" s="26"/>
    </row>
    <row r="122" spans="3:3" x14ac:dyDescent="0.2">
      <c r="C122" s="26"/>
    </row>
    <row r="123" spans="3:3" x14ac:dyDescent="0.2">
      <c r="C123" s="26"/>
    </row>
    <row r="124" spans="3:3" x14ac:dyDescent="0.2">
      <c r="C124" s="26"/>
    </row>
    <row r="125" spans="3:3" x14ac:dyDescent="0.2">
      <c r="C125" s="26"/>
    </row>
    <row r="126" spans="3:3" x14ac:dyDescent="0.2">
      <c r="C126" s="26"/>
    </row>
    <row r="127" spans="3:3" x14ac:dyDescent="0.2">
      <c r="C127" s="26"/>
    </row>
    <row r="128" spans="3:3" x14ac:dyDescent="0.2">
      <c r="C128" s="26"/>
    </row>
    <row r="129" spans="3:3" x14ac:dyDescent="0.2">
      <c r="C129" s="26"/>
    </row>
    <row r="130" spans="3:3" x14ac:dyDescent="0.2">
      <c r="C130" s="26"/>
    </row>
    <row r="131" spans="3:3" x14ac:dyDescent="0.2">
      <c r="C131" s="26"/>
    </row>
    <row r="132" spans="3:3" x14ac:dyDescent="0.2">
      <c r="C132" s="26"/>
    </row>
    <row r="133" spans="3:3" x14ac:dyDescent="0.2">
      <c r="C133" s="26"/>
    </row>
    <row r="134" spans="3:3" x14ac:dyDescent="0.2">
      <c r="C134" s="26"/>
    </row>
    <row r="135" spans="3:3" x14ac:dyDescent="0.2">
      <c r="C135" s="26"/>
    </row>
    <row r="136" spans="3:3" x14ac:dyDescent="0.2">
      <c r="C136" s="26"/>
    </row>
    <row r="137" spans="3:3" x14ac:dyDescent="0.2">
      <c r="C137" s="26"/>
    </row>
    <row r="138" spans="3:3" x14ac:dyDescent="0.2">
      <c r="C138" s="26"/>
    </row>
    <row r="139" spans="3:3" x14ac:dyDescent="0.2">
      <c r="C139" s="26"/>
    </row>
    <row r="140" spans="3:3" x14ac:dyDescent="0.2">
      <c r="C140" s="26"/>
    </row>
    <row r="141" spans="3:3" x14ac:dyDescent="0.2">
      <c r="C141" s="26"/>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Region"/>
  <dimension ref="A1:AP54"/>
  <sheetViews>
    <sheetView showGridLines="0" zoomScaleNormal="100" workbookViewId="0">
      <selection activeCell="A2" sqref="A2:H43"/>
    </sheetView>
  </sheetViews>
  <sheetFormatPr defaultRowHeight="12.75" x14ac:dyDescent="0.2"/>
  <cols>
    <col min="1" max="1" width="16.5703125" style="9" customWidth="1"/>
    <col min="2" max="2" width="20.42578125" style="9" customWidth="1"/>
    <col min="3" max="3" width="19.5703125" style="9" customWidth="1"/>
    <col min="4" max="4" width="19.28515625" style="9" customWidth="1"/>
    <col min="5" max="5" width="16.42578125" style="9" customWidth="1"/>
    <col min="6" max="6" width="11.28515625" style="9" customWidth="1"/>
    <col min="7" max="7" width="13.140625" style="9" customWidth="1"/>
    <col min="8" max="8" width="24.85546875" style="9" customWidth="1"/>
    <col min="9" max="9" width="20.140625" style="9" customWidth="1"/>
    <col min="10" max="10" width="20" style="9" customWidth="1"/>
    <col min="11" max="11" width="30.42578125" style="9" customWidth="1"/>
    <col min="12" max="12" width="13.7109375" style="9" customWidth="1"/>
    <col min="13" max="13" width="23" style="9" customWidth="1"/>
    <col min="14" max="16" width="9.140625" style="9"/>
    <col min="17" max="17" width="11.85546875" style="9" bestFit="1" customWidth="1"/>
    <col min="18" max="18" width="10.140625" style="9" bestFit="1" customWidth="1"/>
    <col min="19" max="19" width="25.7109375" style="9" customWidth="1"/>
    <col min="20" max="20" width="9.140625" style="9" customWidth="1"/>
    <col min="21" max="21" width="9.140625" style="9"/>
    <col min="22" max="22" width="24.5703125" style="9" bestFit="1" customWidth="1"/>
    <col min="23" max="23" width="7.5703125" style="9" bestFit="1" customWidth="1"/>
    <col min="24" max="24" width="9.85546875" style="9" customWidth="1"/>
    <col min="25" max="25" width="14" style="9" customWidth="1"/>
    <col min="26" max="26" width="6" style="9" customWidth="1"/>
    <col min="27" max="27" width="24.5703125" style="9" bestFit="1" customWidth="1"/>
    <col min="28" max="28" width="7.5703125" style="9" customWidth="1"/>
    <col min="29" max="29" width="9.5703125" style="9" customWidth="1"/>
    <col min="30" max="31" width="6" style="9" customWidth="1"/>
    <col min="32" max="32" width="8" style="9" customWidth="1"/>
    <col min="33" max="33" width="6.28515625" style="9" customWidth="1"/>
    <col min="34" max="34" width="28.140625" style="9" bestFit="1" customWidth="1"/>
    <col min="35" max="35" width="10.140625" style="9" bestFit="1" customWidth="1"/>
    <col min="36" max="36" width="9.85546875" style="9" customWidth="1"/>
    <col min="37" max="37" width="7.28515625" style="9" customWidth="1"/>
    <col min="38" max="38" width="6.28515625" style="9" customWidth="1"/>
    <col min="39" max="39" width="7.28515625" style="9" customWidth="1"/>
    <col min="40" max="40" width="6.28515625" style="9" customWidth="1"/>
    <col min="41" max="41" width="12.7109375" style="9" bestFit="1" customWidth="1"/>
    <col min="42" max="42" width="19.28515625" style="9" bestFit="1" customWidth="1"/>
    <col min="43" max="16384" width="9.140625" style="9"/>
  </cols>
  <sheetData>
    <row r="1" spans="1:42" ht="38.25" customHeight="1" x14ac:dyDescent="0.2">
      <c r="A1" s="27" t="s">
        <v>39</v>
      </c>
      <c r="B1" s="27" t="s">
        <v>2</v>
      </c>
      <c r="C1" s="27" t="s">
        <v>40</v>
      </c>
      <c r="D1" s="27" t="s">
        <v>48</v>
      </c>
      <c r="E1" s="27" t="s">
        <v>51</v>
      </c>
      <c r="F1" s="27" t="s">
        <v>42</v>
      </c>
      <c r="G1" s="27" t="s">
        <v>41</v>
      </c>
      <c r="H1" s="27" t="s">
        <v>92</v>
      </c>
      <c r="I1" s="36" t="s">
        <v>35</v>
      </c>
      <c r="J1" s="36" t="s">
        <v>93</v>
      </c>
      <c r="K1" s="36" t="s">
        <v>94</v>
      </c>
      <c r="L1" s="36" t="s">
        <v>3</v>
      </c>
      <c r="M1" s="36" t="s">
        <v>95</v>
      </c>
      <c r="Q1" s="37" t="s">
        <v>97</v>
      </c>
      <c r="R1" s="35">
        <v>201810</v>
      </c>
      <c r="V1" s="43" t="s">
        <v>100</v>
      </c>
      <c r="W1" s="43"/>
      <c r="X1" s="43"/>
      <c r="Y1" s="43"/>
      <c r="Z1" s="43"/>
      <c r="AA1" s="43"/>
      <c r="AB1" s="43"/>
      <c r="AC1" s="43"/>
      <c r="AH1" s="35" t="s">
        <v>105</v>
      </c>
      <c r="AI1" s="35"/>
      <c r="AJ1" s="35"/>
    </row>
    <row r="2" spans="1:42" x14ac:dyDescent="0.2">
      <c r="A2" s="8" t="s">
        <v>28</v>
      </c>
      <c r="B2" s="8">
        <v>66030</v>
      </c>
      <c r="C2" s="26">
        <v>43377</v>
      </c>
      <c r="D2" s="8">
        <v>8010</v>
      </c>
      <c r="E2" s="8">
        <v>103</v>
      </c>
      <c r="F2" s="8" t="s">
        <v>91</v>
      </c>
      <c r="G2" s="8">
        <v>120</v>
      </c>
      <c r="H2" s="8">
        <v>1440</v>
      </c>
      <c r="I2" s="9" t="str">
        <f>VLOOKUP(TableTemp[[#This Row],[Company ID]],MCompany[],2,0)</f>
        <v>Urban Right</v>
      </c>
      <c r="J2" s="9" t="str">
        <f>VLOOKUP(TableTemp[[#This Row],[Customer code]],MCustomer[],2,0)</f>
        <v>Dellicia</v>
      </c>
      <c r="K2" s="9" t="str">
        <f>VLOOKUP(TableTemp[[#This Row],[Article code]],MArticle[],2,0)</f>
        <v>Women type T simple white</v>
      </c>
      <c r="L2" s="9" t="str">
        <f>VLOOKUP(TableTemp[[#This Row],[Company ID]],MCompany[],3,0)</f>
        <v>USD</v>
      </c>
      <c r="M2" s="9">
        <f>IF(TableTemp[[#This Row],[Currency]]="EUR",ROUND(VLOOKUP(MONTH(TableTemp[[#This Row],[Document Date]]),MExchange[],2,0),2)*TableTemp[[#This Row],[Sales Local currency]],ROUND(TableTemp[[#This Row],[Sales Local currency]],2))</f>
        <v>1440</v>
      </c>
      <c r="Q2" s="28" t="s">
        <v>98</v>
      </c>
      <c r="R2" t="s">
        <v>99</v>
      </c>
      <c r="S2"/>
      <c r="AD2"/>
      <c r="AE2"/>
      <c r="AF2"/>
      <c r="AG2"/>
      <c r="AH2" s="28" t="s">
        <v>106</v>
      </c>
      <c r="AI2" t="s">
        <v>99</v>
      </c>
      <c r="AJ2" t="s">
        <v>102</v>
      </c>
      <c r="AK2"/>
      <c r="AL2"/>
      <c r="AM2"/>
      <c r="AN2"/>
      <c r="AO2"/>
      <c r="AP2"/>
    </row>
    <row r="3" spans="1:42" x14ac:dyDescent="0.2">
      <c r="A3" s="9" t="s">
        <v>28</v>
      </c>
      <c r="B3" s="9">
        <v>66030</v>
      </c>
      <c r="C3" s="42">
        <v>43377</v>
      </c>
      <c r="D3" s="9">
        <v>8010</v>
      </c>
      <c r="E3" s="9">
        <v>104</v>
      </c>
      <c r="G3" s="9">
        <v>150</v>
      </c>
      <c r="H3" s="9">
        <v>1800</v>
      </c>
      <c r="I3" s="10" t="str">
        <f>VLOOKUP(TableTemp[[#This Row],[Company ID]],MCompany[],2,0)</f>
        <v>Urban Right</v>
      </c>
      <c r="J3" s="10" t="str">
        <f>VLOOKUP(TableTemp[[#This Row],[Customer code]],MCustomer[],2,0)</f>
        <v>Dellicia</v>
      </c>
      <c r="K3" s="10" t="str">
        <f>VLOOKUP(TableTemp[[#This Row],[Article code]],MArticle[],2,0)</f>
        <v>Women type T simple black</v>
      </c>
      <c r="L3" s="10" t="str">
        <f>VLOOKUP(TableTemp[[#This Row],[Company ID]],MCompany[],3,0)</f>
        <v>USD</v>
      </c>
      <c r="M3" s="10">
        <f>IF(TableTemp[[#This Row],[Currency]]="EUR",ROUND(VLOOKUP(MONTH(TableTemp[[#This Row],[Document Date]]),MExchange[],2,0),2)*TableTemp[[#This Row],[Sales Local currency]],ROUND(TableTemp[[#This Row],[Sales Local currency]],2))</f>
        <v>1800</v>
      </c>
      <c r="Q3" s="29" t="s">
        <v>46</v>
      </c>
      <c r="R3" s="33">
        <v>28620</v>
      </c>
      <c r="S3"/>
      <c r="AD3"/>
      <c r="AE3"/>
      <c r="AF3"/>
      <c r="AG3"/>
      <c r="AH3" s="29" t="s">
        <v>32</v>
      </c>
      <c r="AI3" s="33"/>
      <c r="AJ3" s="30"/>
      <c r="AK3"/>
      <c r="AL3"/>
      <c r="AM3"/>
      <c r="AN3"/>
      <c r="AO3"/>
      <c r="AP3"/>
    </row>
    <row r="4" spans="1:42" x14ac:dyDescent="0.2">
      <c r="A4" s="9" t="s">
        <v>28</v>
      </c>
      <c r="B4" s="9">
        <v>66032</v>
      </c>
      <c r="C4" s="42">
        <v>43380</v>
      </c>
      <c r="D4" s="9">
        <v>8010</v>
      </c>
      <c r="E4" s="9">
        <v>103</v>
      </c>
      <c r="G4" s="9">
        <v>170</v>
      </c>
      <c r="H4" s="9">
        <v>2040</v>
      </c>
      <c r="I4" s="10" t="str">
        <f>VLOOKUP(TableTemp[[#This Row],[Company ID]],MCompany[],2,0)</f>
        <v>Urban Right</v>
      </c>
      <c r="J4" s="10" t="str">
        <f>VLOOKUP(TableTemp[[#This Row],[Customer code]],MCustomer[],2,0)</f>
        <v>Dellicia</v>
      </c>
      <c r="K4" s="10" t="str">
        <f>VLOOKUP(TableTemp[[#This Row],[Article code]],MArticle[],2,0)</f>
        <v>Women type T simple white</v>
      </c>
      <c r="L4" s="10" t="str">
        <f>VLOOKUP(TableTemp[[#This Row],[Company ID]],MCompany[],3,0)</f>
        <v>USD</v>
      </c>
      <c r="M4" s="10">
        <f>IF(TableTemp[[#This Row],[Currency]]="EUR",ROUND(VLOOKUP(MONTH(TableTemp[[#This Row],[Document Date]]),MExchange[],2,0),2)*TableTemp[[#This Row],[Sales Local currency]],ROUND(TableTemp[[#This Row],[Sales Local currency]],2))</f>
        <v>2040</v>
      </c>
      <c r="Q4" s="29" t="s">
        <v>44</v>
      </c>
      <c r="R4" s="33">
        <v>37480</v>
      </c>
      <c r="S4"/>
      <c r="AD4"/>
      <c r="AE4"/>
      <c r="AF4"/>
      <c r="AG4"/>
      <c r="AH4" s="32" t="s">
        <v>46</v>
      </c>
      <c r="AI4" s="33"/>
      <c r="AJ4" s="30"/>
      <c r="AK4"/>
      <c r="AL4"/>
      <c r="AM4"/>
      <c r="AN4"/>
      <c r="AO4"/>
      <c r="AP4"/>
    </row>
    <row r="5" spans="1:42" x14ac:dyDescent="0.2">
      <c r="A5" s="9" t="s">
        <v>28</v>
      </c>
      <c r="B5" s="9">
        <v>66032</v>
      </c>
      <c r="C5" s="42">
        <v>43380</v>
      </c>
      <c r="D5" s="9">
        <v>8010</v>
      </c>
      <c r="E5" s="9">
        <v>104</v>
      </c>
      <c r="G5" s="9">
        <v>140</v>
      </c>
      <c r="H5" s="9">
        <v>1680</v>
      </c>
      <c r="I5" s="10" t="str">
        <f>VLOOKUP(TableTemp[[#This Row],[Company ID]],MCompany[],2,0)</f>
        <v>Urban Right</v>
      </c>
      <c r="J5" s="10" t="str">
        <f>VLOOKUP(TableTemp[[#This Row],[Customer code]],MCustomer[],2,0)</f>
        <v>Dellicia</v>
      </c>
      <c r="K5" s="10" t="str">
        <f>VLOOKUP(TableTemp[[#This Row],[Article code]],MArticle[],2,0)</f>
        <v>Women type T simple black</v>
      </c>
      <c r="L5" s="10" t="str">
        <f>VLOOKUP(TableTemp[[#This Row],[Company ID]],MCompany[],3,0)</f>
        <v>USD</v>
      </c>
      <c r="M5" s="10">
        <f>IF(TableTemp[[#This Row],[Currency]]="EUR",ROUND(VLOOKUP(MONTH(TableTemp[[#This Row],[Document Date]]),MExchange[],2,0),2)*TableTemp[[#This Row],[Sales Local currency]],ROUND(TableTemp[[#This Row],[Sales Local currency]],2))</f>
        <v>1680</v>
      </c>
      <c r="Q5" s="29" t="s">
        <v>96</v>
      </c>
      <c r="R5" s="33">
        <v>66100</v>
      </c>
      <c r="S5"/>
      <c r="AD5"/>
      <c r="AE5"/>
      <c r="AF5"/>
      <c r="AG5"/>
      <c r="AH5" s="34" t="s">
        <v>8</v>
      </c>
      <c r="AI5" s="33">
        <v>10080</v>
      </c>
      <c r="AJ5" s="30">
        <v>840</v>
      </c>
      <c r="AK5"/>
      <c r="AL5"/>
      <c r="AM5"/>
      <c r="AN5"/>
      <c r="AO5"/>
      <c r="AP5"/>
    </row>
    <row r="6" spans="1:42" x14ac:dyDescent="0.2">
      <c r="A6" s="9" t="s">
        <v>28</v>
      </c>
      <c r="B6" s="9">
        <v>66031</v>
      </c>
      <c r="C6" s="42">
        <v>43381</v>
      </c>
      <c r="D6" s="9">
        <v>8020</v>
      </c>
      <c r="E6" s="9">
        <v>103</v>
      </c>
      <c r="F6" s="9">
        <v>1</v>
      </c>
      <c r="G6" s="9">
        <v>140</v>
      </c>
      <c r="H6" s="9">
        <v>1680</v>
      </c>
      <c r="I6" s="10" t="str">
        <f>VLOOKUP(TableTemp[[#This Row],[Company ID]],MCompany[],2,0)</f>
        <v>Urban Right</v>
      </c>
      <c r="J6" s="10" t="str">
        <f>VLOOKUP(TableTemp[[#This Row],[Customer code]],MCustomer[],2,0)</f>
        <v>Erma</v>
      </c>
      <c r="K6" s="10" t="str">
        <f>VLOOKUP(TableTemp[[#This Row],[Article code]],MArticle[],2,0)</f>
        <v>Women type T simple white</v>
      </c>
      <c r="L6" s="10" t="str">
        <f>VLOOKUP(TableTemp[[#This Row],[Company ID]],MCompany[],3,0)</f>
        <v>USD</v>
      </c>
      <c r="M6" s="10">
        <f>IF(TableTemp[[#This Row],[Currency]]="EUR",ROUND(VLOOKUP(MONTH(TableTemp[[#This Row],[Document Date]]),MExchange[],2,0),2)*TableTemp[[#This Row],[Sales Local currency]],ROUND(TableTemp[[#This Row],[Sales Local currency]],2))</f>
        <v>1680</v>
      </c>
      <c r="Q6"/>
      <c r="R6"/>
      <c r="S6"/>
      <c r="AD6"/>
      <c r="AE6"/>
      <c r="AF6"/>
      <c r="AG6"/>
      <c r="AH6" s="34" t="s">
        <v>9</v>
      </c>
      <c r="AI6" s="33">
        <v>9840</v>
      </c>
      <c r="AJ6" s="30">
        <v>820</v>
      </c>
      <c r="AK6"/>
      <c r="AL6"/>
      <c r="AM6"/>
      <c r="AN6"/>
      <c r="AO6"/>
      <c r="AP6"/>
    </row>
    <row r="7" spans="1:42" x14ac:dyDescent="0.2">
      <c r="A7" s="9" t="s">
        <v>28</v>
      </c>
      <c r="B7" s="9">
        <v>66031</v>
      </c>
      <c r="C7" s="42">
        <v>43381</v>
      </c>
      <c r="D7" s="9">
        <v>8020</v>
      </c>
      <c r="E7" s="9">
        <v>104</v>
      </c>
      <c r="G7" s="9">
        <v>150</v>
      </c>
      <c r="H7" s="9">
        <v>1800</v>
      </c>
      <c r="I7" s="10" t="str">
        <f>VLOOKUP(TableTemp[[#This Row],[Company ID]],MCompany[],2,0)</f>
        <v>Urban Right</v>
      </c>
      <c r="J7" s="10" t="str">
        <f>VLOOKUP(TableTemp[[#This Row],[Customer code]],MCustomer[],2,0)</f>
        <v>Erma</v>
      </c>
      <c r="K7" s="10" t="str">
        <f>VLOOKUP(TableTemp[[#This Row],[Article code]],MArticle[],2,0)</f>
        <v>Women type T simple black</v>
      </c>
      <c r="L7" s="10" t="str">
        <f>VLOOKUP(TableTemp[[#This Row],[Company ID]],MCompany[],3,0)</f>
        <v>USD</v>
      </c>
      <c r="M7" s="10">
        <f>IF(TableTemp[[#This Row],[Currency]]="EUR",ROUND(VLOOKUP(MONTH(TableTemp[[#This Row],[Document Date]]),MExchange[],2,0),2)*TableTemp[[#This Row],[Sales Local currency]],ROUND(TableTemp[[#This Row],[Sales Local currency]],2))</f>
        <v>1800</v>
      </c>
      <c r="Q7"/>
      <c r="R7"/>
      <c r="S7"/>
      <c r="AD7"/>
      <c r="AE7"/>
      <c r="AF7"/>
      <c r="AG7"/>
      <c r="AH7" s="34" t="s">
        <v>4</v>
      </c>
      <c r="AI7" s="33">
        <v>5500</v>
      </c>
      <c r="AJ7" s="30">
        <v>550</v>
      </c>
      <c r="AK7"/>
      <c r="AL7"/>
      <c r="AM7"/>
      <c r="AN7"/>
      <c r="AO7"/>
      <c r="AP7"/>
    </row>
    <row r="8" spans="1:42" x14ac:dyDescent="0.2">
      <c r="A8" s="9" t="s">
        <v>28</v>
      </c>
      <c r="B8" s="9">
        <v>66031</v>
      </c>
      <c r="C8" s="42">
        <v>43381</v>
      </c>
      <c r="D8" s="9">
        <v>8020</v>
      </c>
      <c r="E8" s="9">
        <v>105</v>
      </c>
      <c r="G8" s="9">
        <v>100</v>
      </c>
      <c r="H8" s="9">
        <v>1000</v>
      </c>
      <c r="I8" s="10" t="str">
        <f>VLOOKUP(TableTemp[[#This Row],[Company ID]],MCompany[],2,0)</f>
        <v>Urban Right</v>
      </c>
      <c r="J8" s="10" t="str">
        <f>VLOOKUP(TableTemp[[#This Row],[Customer code]],MCustomer[],2,0)</f>
        <v>Erma</v>
      </c>
      <c r="K8" s="10" t="str">
        <f>VLOOKUP(TableTemp[[#This Row],[Article code]],MArticle[],2,0)</f>
        <v>Women crop top black</v>
      </c>
      <c r="L8" s="10" t="str">
        <f>VLOOKUP(TableTemp[[#This Row],[Company ID]],MCompany[],3,0)</f>
        <v>USD</v>
      </c>
      <c r="M8" s="10">
        <f>IF(TableTemp[[#This Row],[Currency]]="EUR",ROUND(VLOOKUP(MONTH(TableTemp[[#This Row],[Document Date]]),MExchange[],2,0),2)*TableTemp[[#This Row],[Sales Local currency]],ROUND(TableTemp[[#This Row],[Sales Local currency]],2))</f>
        <v>1000</v>
      </c>
      <c r="Q8"/>
      <c r="R8"/>
      <c r="S8"/>
      <c r="AD8"/>
      <c r="AE8"/>
      <c r="AF8"/>
      <c r="AG8"/>
      <c r="AH8" s="34" t="s">
        <v>10</v>
      </c>
      <c r="AI8" s="33">
        <v>3200</v>
      </c>
      <c r="AJ8" s="30">
        <v>640</v>
      </c>
      <c r="AK8"/>
      <c r="AL8"/>
      <c r="AM8"/>
      <c r="AN8"/>
      <c r="AO8"/>
      <c r="AP8"/>
    </row>
    <row r="9" spans="1:42" x14ac:dyDescent="0.2">
      <c r="A9" s="9" t="s">
        <v>28</v>
      </c>
      <c r="B9" s="9">
        <v>68112</v>
      </c>
      <c r="C9" s="42">
        <v>43384</v>
      </c>
      <c r="D9" s="9">
        <v>8010</v>
      </c>
      <c r="E9" s="9">
        <v>104</v>
      </c>
      <c r="F9" s="9">
        <v>4</v>
      </c>
      <c r="G9" s="9">
        <v>180</v>
      </c>
      <c r="H9" s="9">
        <v>2160</v>
      </c>
      <c r="I9" s="10" t="str">
        <f>VLOOKUP(TableTemp[[#This Row],[Company ID]],MCompany[],2,0)</f>
        <v>Urban Right</v>
      </c>
      <c r="J9" s="10" t="str">
        <f>VLOOKUP(TableTemp[[#This Row],[Customer code]],MCustomer[],2,0)</f>
        <v>Dellicia</v>
      </c>
      <c r="K9" s="10" t="str">
        <f>VLOOKUP(TableTemp[[#This Row],[Article code]],MArticle[],2,0)</f>
        <v>Women type T simple black</v>
      </c>
      <c r="L9" s="10" t="str">
        <f>VLOOKUP(TableTemp[[#This Row],[Company ID]],MCompany[],3,0)</f>
        <v>USD</v>
      </c>
      <c r="M9" s="10">
        <f>IF(TableTemp[[#This Row],[Currency]]="EUR",ROUND(VLOOKUP(MONTH(TableTemp[[#This Row],[Document Date]]),MExchange[],2,0),2)*TableTemp[[#This Row],[Sales Local currency]],ROUND(TableTemp[[#This Row],[Sales Local currency]],2))</f>
        <v>2160</v>
      </c>
      <c r="Q9"/>
      <c r="R9"/>
      <c r="S9"/>
      <c r="V9" s="28" t="s">
        <v>101</v>
      </c>
      <c r="W9" t="s">
        <v>99</v>
      </c>
      <c r="X9" t="s">
        <v>102</v>
      </c>
      <c r="Y9"/>
      <c r="Z9"/>
      <c r="AA9" s="28" t="s">
        <v>101</v>
      </c>
      <c r="AB9" t="s">
        <v>103</v>
      </c>
      <c r="AC9" t="s">
        <v>104</v>
      </c>
      <c r="AD9"/>
      <c r="AE9"/>
      <c r="AF9"/>
      <c r="AG9"/>
      <c r="AH9" s="32" t="s">
        <v>131</v>
      </c>
      <c r="AI9" s="33">
        <v>28620</v>
      </c>
      <c r="AJ9" s="30">
        <v>2850</v>
      </c>
      <c r="AK9"/>
      <c r="AL9"/>
      <c r="AM9"/>
      <c r="AN9"/>
      <c r="AO9"/>
      <c r="AP9"/>
    </row>
    <row r="10" spans="1:42" x14ac:dyDescent="0.2">
      <c r="A10" s="9" t="s">
        <v>28</v>
      </c>
      <c r="B10" s="9">
        <v>68112</v>
      </c>
      <c r="C10" s="42">
        <v>43384</v>
      </c>
      <c r="D10" s="9">
        <v>8010</v>
      </c>
      <c r="E10" s="9">
        <v>105</v>
      </c>
      <c r="G10" s="9">
        <v>120</v>
      </c>
      <c r="H10" s="9">
        <v>1200</v>
      </c>
      <c r="I10" s="10" t="str">
        <f>VLOOKUP(TableTemp[[#This Row],[Company ID]],MCompany[],2,0)</f>
        <v>Urban Right</v>
      </c>
      <c r="J10" s="10" t="str">
        <f>VLOOKUP(TableTemp[[#This Row],[Customer code]],MCustomer[],2,0)</f>
        <v>Dellicia</v>
      </c>
      <c r="K10" s="10" t="str">
        <f>VLOOKUP(TableTemp[[#This Row],[Article code]],MArticle[],2,0)</f>
        <v>Women crop top black</v>
      </c>
      <c r="L10" s="10" t="str">
        <f>VLOOKUP(TableTemp[[#This Row],[Company ID]],MCompany[],3,0)</f>
        <v>USD</v>
      </c>
      <c r="M10" s="10">
        <f>IF(TableTemp[[#This Row],[Currency]]="EUR",ROUND(VLOOKUP(MONTH(TableTemp[[#This Row],[Document Date]]),MExchange[],2,0),2)*TableTemp[[#This Row],[Sales Local currency]],ROUND(TableTemp[[#This Row],[Sales Local currency]],2))</f>
        <v>1200</v>
      </c>
      <c r="Q10"/>
      <c r="R10"/>
      <c r="S10"/>
      <c r="V10" s="29" t="s">
        <v>9</v>
      </c>
      <c r="W10" s="30">
        <v>27960</v>
      </c>
      <c r="X10" s="30">
        <v>2330</v>
      </c>
      <c r="Y10"/>
      <c r="Z10"/>
      <c r="AA10" s="29" t="s">
        <v>8</v>
      </c>
      <c r="AB10" s="30">
        <v>2</v>
      </c>
      <c r="AC10" s="31">
        <v>0.33333333333333331</v>
      </c>
      <c r="AD10"/>
      <c r="AE10"/>
      <c r="AF10"/>
      <c r="AG10"/>
      <c r="AH10" s="32" t="s">
        <v>44</v>
      </c>
      <c r="AI10" s="33"/>
      <c r="AJ10" s="30"/>
      <c r="AK10"/>
      <c r="AL10"/>
      <c r="AM10"/>
      <c r="AN10"/>
      <c r="AO10"/>
      <c r="AP10"/>
    </row>
    <row r="11" spans="1:42" x14ac:dyDescent="0.2">
      <c r="A11" s="9" t="s">
        <v>28</v>
      </c>
      <c r="B11" s="9">
        <v>68116</v>
      </c>
      <c r="C11" s="42">
        <v>43384</v>
      </c>
      <c r="D11" s="9">
        <v>8020</v>
      </c>
      <c r="E11" s="9">
        <v>104</v>
      </c>
      <c r="G11" s="9">
        <v>150</v>
      </c>
      <c r="H11" s="9">
        <v>1800</v>
      </c>
      <c r="I11" s="10" t="str">
        <f>VLOOKUP(TableTemp[[#This Row],[Company ID]],MCompany[],2,0)</f>
        <v>Urban Right</v>
      </c>
      <c r="J11" s="10" t="str">
        <f>VLOOKUP(TableTemp[[#This Row],[Customer code]],MCustomer[],2,0)</f>
        <v>Erma</v>
      </c>
      <c r="K11" s="10" t="str">
        <f>VLOOKUP(TableTemp[[#This Row],[Article code]],MArticle[],2,0)</f>
        <v>Women type T simple black</v>
      </c>
      <c r="L11" s="10" t="str">
        <f>VLOOKUP(TableTemp[[#This Row],[Company ID]],MCompany[],3,0)</f>
        <v>USD</v>
      </c>
      <c r="M11" s="10">
        <f>IF(TableTemp[[#This Row],[Currency]]="EUR",ROUND(VLOOKUP(MONTH(TableTemp[[#This Row],[Document Date]]),MExchange[],2,0),2)*TableTemp[[#This Row],[Sales Local currency]],ROUND(TableTemp[[#This Row],[Sales Local currency]],2))</f>
        <v>1800</v>
      </c>
      <c r="Q11"/>
      <c r="R11"/>
      <c r="S11"/>
      <c r="V11" s="29" t="s">
        <v>8</v>
      </c>
      <c r="W11" s="30">
        <v>20640</v>
      </c>
      <c r="X11" s="30">
        <v>1720</v>
      </c>
      <c r="Y11"/>
      <c r="Z11"/>
      <c r="AA11" s="29" t="s">
        <v>9</v>
      </c>
      <c r="AB11" s="30">
        <v>2</v>
      </c>
      <c r="AC11" s="31">
        <v>0.33333333333333331</v>
      </c>
      <c r="AD11"/>
      <c r="AE11"/>
      <c r="AF11"/>
      <c r="AG11"/>
      <c r="AH11" s="34" t="s">
        <v>9</v>
      </c>
      <c r="AI11" s="33">
        <v>18120</v>
      </c>
      <c r="AJ11" s="30">
        <v>1510</v>
      </c>
      <c r="AK11"/>
      <c r="AL11"/>
      <c r="AM11"/>
      <c r="AN11"/>
      <c r="AO11"/>
      <c r="AP11"/>
    </row>
    <row r="12" spans="1:42" x14ac:dyDescent="0.2">
      <c r="A12" s="9" t="s">
        <v>28</v>
      </c>
      <c r="B12" s="9">
        <v>68116</v>
      </c>
      <c r="C12" s="42">
        <v>43384</v>
      </c>
      <c r="D12" s="9">
        <v>8020</v>
      </c>
      <c r="E12" s="9">
        <v>105</v>
      </c>
      <c r="G12" s="9">
        <v>190</v>
      </c>
      <c r="H12" s="9">
        <v>1900</v>
      </c>
      <c r="I12" s="10" t="str">
        <f>VLOOKUP(TableTemp[[#This Row],[Company ID]],MCompany[],2,0)</f>
        <v>Urban Right</v>
      </c>
      <c r="J12" s="10" t="str">
        <f>VLOOKUP(TableTemp[[#This Row],[Customer code]],MCustomer[],2,0)</f>
        <v>Erma</v>
      </c>
      <c r="K12" s="10" t="str">
        <f>VLOOKUP(TableTemp[[#This Row],[Article code]],MArticle[],2,0)</f>
        <v>Women crop top black</v>
      </c>
      <c r="L12" s="10" t="str">
        <f>VLOOKUP(TableTemp[[#This Row],[Company ID]],MCompany[],3,0)</f>
        <v>USD</v>
      </c>
      <c r="M12" s="10">
        <f>IF(TableTemp[[#This Row],[Currency]]="EUR",ROUND(VLOOKUP(MONTH(TableTemp[[#This Row],[Document Date]]),MExchange[],2,0),2)*TableTemp[[#This Row],[Sales Local currency]],ROUND(TableTemp[[#This Row],[Sales Local currency]],2))</f>
        <v>1900</v>
      </c>
      <c r="Q12"/>
      <c r="R12"/>
      <c r="S12"/>
      <c r="V12" s="29" t="s">
        <v>4</v>
      </c>
      <c r="W12" s="30">
        <v>14300</v>
      </c>
      <c r="X12" s="30">
        <v>1430</v>
      </c>
      <c r="Y12"/>
      <c r="Z12"/>
      <c r="AA12" s="29" t="s">
        <v>10</v>
      </c>
      <c r="AB12" s="30">
        <v>1</v>
      </c>
      <c r="AC12" s="31">
        <v>0.16666666666666666</v>
      </c>
      <c r="AD12"/>
      <c r="AE12"/>
      <c r="AF12"/>
      <c r="AG12"/>
      <c r="AH12" s="34" t="s">
        <v>8</v>
      </c>
      <c r="AI12" s="33">
        <v>10560</v>
      </c>
      <c r="AJ12" s="30">
        <v>880</v>
      </c>
      <c r="AK12"/>
      <c r="AL12"/>
      <c r="AM12"/>
      <c r="AN12"/>
      <c r="AO12"/>
      <c r="AP12"/>
    </row>
    <row r="13" spans="1:42" x14ac:dyDescent="0.2">
      <c r="A13" s="9" t="s">
        <v>28</v>
      </c>
      <c r="B13" s="9">
        <v>68116</v>
      </c>
      <c r="C13" s="42">
        <v>43384</v>
      </c>
      <c r="D13" s="9">
        <v>8020</v>
      </c>
      <c r="E13" s="9">
        <v>107</v>
      </c>
      <c r="F13" s="9">
        <v>2</v>
      </c>
      <c r="G13" s="9">
        <v>160</v>
      </c>
      <c r="H13" s="9">
        <v>800</v>
      </c>
      <c r="I13" s="10" t="str">
        <f>VLOOKUP(TableTemp[[#This Row],[Company ID]],MCompany[],2,0)</f>
        <v>Urban Right</v>
      </c>
      <c r="J13" s="10" t="str">
        <f>VLOOKUP(TableTemp[[#This Row],[Customer code]],MCustomer[],2,0)</f>
        <v>Erma</v>
      </c>
      <c r="K13" s="10" t="str">
        <f>VLOOKUP(TableTemp[[#This Row],[Article code]],MArticle[],2,0)</f>
        <v>Women basics</v>
      </c>
      <c r="L13" s="10" t="str">
        <f>VLOOKUP(TableTemp[[#This Row],[Company ID]],MCompany[],3,0)</f>
        <v>USD</v>
      </c>
      <c r="M13" s="10">
        <f>IF(TableTemp[[#This Row],[Currency]]="EUR",ROUND(VLOOKUP(MONTH(TableTemp[[#This Row],[Document Date]]),MExchange[],2,0),2)*TableTemp[[#This Row],[Sales Local currency]],ROUND(TableTemp[[#This Row],[Sales Local currency]],2))</f>
        <v>800</v>
      </c>
      <c r="Q13"/>
      <c r="R13"/>
      <c r="S13"/>
      <c r="V13" s="29" t="s">
        <v>10</v>
      </c>
      <c r="W13" s="30">
        <v>3200</v>
      </c>
      <c r="X13" s="30">
        <v>640</v>
      </c>
      <c r="Y13"/>
      <c r="Z13"/>
      <c r="AA13" s="29" t="s">
        <v>4</v>
      </c>
      <c r="AB13" s="30">
        <v>1</v>
      </c>
      <c r="AC13" s="31">
        <v>0.16666666666666666</v>
      </c>
      <c r="AD13"/>
      <c r="AE13"/>
      <c r="AF13"/>
      <c r="AG13"/>
      <c r="AH13" s="34" t="s">
        <v>4</v>
      </c>
      <c r="AI13" s="33">
        <v>8800</v>
      </c>
      <c r="AJ13" s="30">
        <v>880</v>
      </c>
      <c r="AK13"/>
      <c r="AL13"/>
      <c r="AM13"/>
      <c r="AN13"/>
      <c r="AO13"/>
      <c r="AP13"/>
    </row>
    <row r="14" spans="1:42" x14ac:dyDescent="0.2">
      <c r="A14" s="9" t="s">
        <v>28</v>
      </c>
      <c r="B14" s="9">
        <v>68116</v>
      </c>
      <c r="C14" s="42">
        <v>43384</v>
      </c>
      <c r="D14" s="9">
        <v>8010</v>
      </c>
      <c r="E14" s="9">
        <v>104</v>
      </c>
      <c r="G14" s="9">
        <v>160</v>
      </c>
      <c r="H14" s="9">
        <v>1920</v>
      </c>
      <c r="I14" s="10" t="str">
        <f>VLOOKUP(TableTemp[[#This Row],[Company ID]],MCompany[],2,0)</f>
        <v>Urban Right</v>
      </c>
      <c r="J14" s="10" t="str">
        <f>VLOOKUP(TableTemp[[#This Row],[Customer code]],MCustomer[],2,0)</f>
        <v>Dellicia</v>
      </c>
      <c r="K14" s="10" t="str">
        <f>VLOOKUP(TableTemp[[#This Row],[Article code]],MArticle[],2,0)</f>
        <v>Women type T simple black</v>
      </c>
      <c r="L14" s="10" t="str">
        <f>VLOOKUP(TableTemp[[#This Row],[Company ID]],MCompany[],3,0)</f>
        <v>USD</v>
      </c>
      <c r="M14" s="10">
        <f>IF(TableTemp[[#This Row],[Currency]]="EUR",ROUND(VLOOKUP(MONTH(TableTemp[[#This Row],[Document Date]]),MExchange[],2,0),2)*TableTemp[[#This Row],[Sales Local currency]],ROUND(TableTemp[[#This Row],[Sales Local currency]],2))</f>
        <v>1920</v>
      </c>
      <c r="Q14"/>
      <c r="R14"/>
      <c r="S14"/>
      <c r="V14" s="29" t="s">
        <v>96</v>
      </c>
      <c r="W14" s="30">
        <v>66100</v>
      </c>
      <c r="X14" s="30">
        <v>6120</v>
      </c>
      <c r="Y14"/>
      <c r="Z14"/>
      <c r="AA14" s="29" t="s">
        <v>96</v>
      </c>
      <c r="AB14" s="30">
        <v>6</v>
      </c>
      <c r="AC14" s="31">
        <v>1</v>
      </c>
      <c r="AD14"/>
      <c r="AE14"/>
      <c r="AF14"/>
      <c r="AG14"/>
      <c r="AH14" s="32" t="s">
        <v>132</v>
      </c>
      <c r="AI14" s="33">
        <v>37480</v>
      </c>
      <c r="AJ14" s="30">
        <v>3270</v>
      </c>
      <c r="AK14"/>
      <c r="AL14"/>
      <c r="AM14"/>
      <c r="AN14"/>
      <c r="AO14"/>
      <c r="AP14"/>
    </row>
    <row r="15" spans="1:42" x14ac:dyDescent="0.2">
      <c r="A15" s="9" t="s">
        <v>28</v>
      </c>
      <c r="B15" s="9">
        <v>68116</v>
      </c>
      <c r="C15" s="42">
        <v>43384</v>
      </c>
      <c r="D15" s="9">
        <v>8010</v>
      </c>
      <c r="E15" s="9">
        <v>105</v>
      </c>
      <c r="G15" s="9">
        <v>190</v>
      </c>
      <c r="H15" s="9">
        <v>1900</v>
      </c>
      <c r="I15" s="10" t="str">
        <f>VLOOKUP(TableTemp[[#This Row],[Company ID]],MCompany[],2,0)</f>
        <v>Urban Right</v>
      </c>
      <c r="J15" s="10" t="str">
        <f>VLOOKUP(TableTemp[[#This Row],[Customer code]],MCustomer[],2,0)</f>
        <v>Dellicia</v>
      </c>
      <c r="K15" s="10" t="str">
        <f>VLOOKUP(TableTemp[[#This Row],[Article code]],MArticle[],2,0)</f>
        <v>Women crop top black</v>
      </c>
      <c r="L15" s="10" t="str">
        <f>VLOOKUP(TableTemp[[#This Row],[Company ID]],MCompany[],3,0)</f>
        <v>USD</v>
      </c>
      <c r="M15" s="10">
        <f>IF(TableTemp[[#This Row],[Currency]]="EUR",ROUND(VLOOKUP(MONTH(TableTemp[[#This Row],[Document Date]]),MExchange[],2,0),2)*TableTemp[[#This Row],[Sales Local currency]],ROUND(TableTemp[[#This Row],[Sales Local currency]],2))</f>
        <v>1900</v>
      </c>
      <c r="Q15"/>
      <c r="R15"/>
      <c r="S15"/>
      <c r="V15"/>
      <c r="W15"/>
      <c r="X15"/>
      <c r="Y15"/>
      <c r="Z15"/>
      <c r="AA15"/>
      <c r="AB15"/>
      <c r="AC15"/>
      <c r="AD15"/>
      <c r="AE15"/>
      <c r="AF15"/>
      <c r="AG15"/>
      <c r="AH15" s="29" t="s">
        <v>133</v>
      </c>
      <c r="AI15" s="33">
        <v>66100</v>
      </c>
      <c r="AJ15" s="30">
        <v>6120</v>
      </c>
      <c r="AK15"/>
      <c r="AL15"/>
      <c r="AM15"/>
      <c r="AN15"/>
      <c r="AO15"/>
      <c r="AP15"/>
    </row>
    <row r="16" spans="1:42" x14ac:dyDescent="0.2">
      <c r="A16" s="9" t="s">
        <v>28</v>
      </c>
      <c r="B16" s="9">
        <v>65662</v>
      </c>
      <c r="C16" s="42">
        <v>43388</v>
      </c>
      <c r="D16" s="9">
        <v>8020</v>
      </c>
      <c r="E16" s="9">
        <v>103</v>
      </c>
      <c r="G16" s="9">
        <v>120</v>
      </c>
      <c r="H16" s="9">
        <v>1440</v>
      </c>
      <c r="I16" s="10" t="str">
        <f>VLOOKUP(TableTemp[[#This Row],[Company ID]],MCompany[],2,0)</f>
        <v>Urban Right</v>
      </c>
      <c r="J16" s="10" t="str">
        <f>VLOOKUP(TableTemp[[#This Row],[Customer code]],MCustomer[],2,0)</f>
        <v>Erma</v>
      </c>
      <c r="K16" s="10" t="str">
        <f>VLOOKUP(TableTemp[[#This Row],[Article code]],MArticle[],2,0)</f>
        <v>Women type T simple white</v>
      </c>
      <c r="L16" s="10" t="str">
        <f>VLOOKUP(TableTemp[[#This Row],[Company ID]],MCompany[],3,0)</f>
        <v>USD</v>
      </c>
      <c r="M16" s="10">
        <f>IF(TableTemp[[#This Row],[Currency]]="EUR",ROUND(VLOOKUP(MONTH(TableTemp[[#This Row],[Document Date]]),MExchange[],2,0),2)*TableTemp[[#This Row],[Sales Local currency]],ROUND(TableTemp[[#This Row],[Sales Local currency]],2))</f>
        <v>1440</v>
      </c>
      <c r="Q16"/>
      <c r="R16"/>
      <c r="S16"/>
      <c r="V16"/>
      <c r="W16"/>
      <c r="X16"/>
      <c r="Y16"/>
      <c r="Z16"/>
      <c r="AA16"/>
      <c r="AB16"/>
      <c r="AC16"/>
      <c r="AD16"/>
      <c r="AE16"/>
      <c r="AF16"/>
      <c r="AG16"/>
      <c r="AH16" s="29" t="s">
        <v>96</v>
      </c>
      <c r="AI16" s="33">
        <v>66100</v>
      </c>
      <c r="AJ16" s="30">
        <v>6120</v>
      </c>
      <c r="AK16"/>
      <c r="AL16"/>
      <c r="AM16"/>
      <c r="AN16"/>
      <c r="AO16"/>
      <c r="AP16"/>
    </row>
    <row r="17" spans="1:36" x14ac:dyDescent="0.2">
      <c r="A17" s="9" t="s">
        <v>28</v>
      </c>
      <c r="B17" s="9">
        <v>65662</v>
      </c>
      <c r="C17" s="42">
        <v>43388</v>
      </c>
      <c r="D17" s="9">
        <v>8020</v>
      </c>
      <c r="E17" s="9">
        <v>104</v>
      </c>
      <c r="G17" s="9">
        <v>110</v>
      </c>
      <c r="H17" s="9">
        <v>1320</v>
      </c>
      <c r="I17" s="10" t="str">
        <f>VLOOKUP(TableTemp[[#This Row],[Company ID]],MCompany[],2,0)</f>
        <v>Urban Right</v>
      </c>
      <c r="J17" s="10" t="str">
        <f>VLOOKUP(TableTemp[[#This Row],[Customer code]],MCustomer[],2,0)</f>
        <v>Erma</v>
      </c>
      <c r="K17" s="10" t="str">
        <f>VLOOKUP(TableTemp[[#This Row],[Article code]],MArticle[],2,0)</f>
        <v>Women type T simple black</v>
      </c>
      <c r="L17" s="10" t="str">
        <f>VLOOKUP(TableTemp[[#This Row],[Company ID]],MCompany[],3,0)</f>
        <v>USD</v>
      </c>
      <c r="M17" s="10">
        <f>IF(TableTemp[[#This Row],[Currency]]="EUR",ROUND(VLOOKUP(MONTH(TableTemp[[#This Row],[Document Date]]),MExchange[],2,0),2)*TableTemp[[#This Row],[Sales Local currency]],ROUND(TableTemp[[#This Row],[Sales Local currency]],2))</f>
        <v>1320</v>
      </c>
      <c r="Q17"/>
      <c r="R17"/>
      <c r="S17"/>
      <c r="V17"/>
      <c r="W17"/>
      <c r="X17"/>
      <c r="Y17"/>
      <c r="Z17"/>
      <c r="AA17"/>
      <c r="AB17"/>
      <c r="AC17"/>
      <c r="AH17"/>
      <c r="AI17"/>
      <c r="AJ17"/>
    </row>
    <row r="18" spans="1:36" x14ac:dyDescent="0.2">
      <c r="A18" s="9" t="s">
        <v>28</v>
      </c>
      <c r="B18" s="9">
        <v>65666</v>
      </c>
      <c r="C18" s="42">
        <v>43388</v>
      </c>
      <c r="D18" s="9">
        <v>8010</v>
      </c>
      <c r="E18" s="9">
        <v>103</v>
      </c>
      <c r="G18" s="9">
        <v>120</v>
      </c>
      <c r="H18" s="9">
        <v>1440</v>
      </c>
      <c r="I18" s="10" t="str">
        <f>VLOOKUP(TableTemp[[#This Row],[Company ID]],MCompany[],2,0)</f>
        <v>Urban Right</v>
      </c>
      <c r="J18" s="10" t="str">
        <f>VLOOKUP(TableTemp[[#This Row],[Customer code]],MCustomer[],2,0)</f>
        <v>Dellicia</v>
      </c>
      <c r="K18" s="10" t="str">
        <f>VLOOKUP(TableTemp[[#This Row],[Article code]],MArticle[],2,0)</f>
        <v>Women type T simple white</v>
      </c>
      <c r="L18" s="10" t="str">
        <f>VLOOKUP(TableTemp[[#This Row],[Company ID]],MCompany[],3,0)</f>
        <v>USD</v>
      </c>
      <c r="M18" s="10">
        <f>IF(TableTemp[[#This Row],[Currency]]="EUR",ROUND(VLOOKUP(MONTH(TableTemp[[#This Row],[Document Date]]),MExchange[],2,0),2)*TableTemp[[#This Row],[Sales Local currency]],ROUND(TableTemp[[#This Row],[Sales Local currency]],2))</f>
        <v>1440</v>
      </c>
      <c r="Q18"/>
      <c r="R18"/>
      <c r="S18"/>
      <c r="V18"/>
      <c r="W18"/>
      <c r="X18"/>
      <c r="Y18"/>
      <c r="Z18"/>
      <c r="AA18"/>
      <c r="AB18"/>
      <c r="AC18"/>
      <c r="AH18"/>
      <c r="AI18"/>
      <c r="AJ18"/>
    </row>
    <row r="19" spans="1:36" x14ac:dyDescent="0.2">
      <c r="A19" s="9" t="s">
        <v>28</v>
      </c>
      <c r="B19" s="9">
        <v>65666</v>
      </c>
      <c r="C19" s="42">
        <v>43388</v>
      </c>
      <c r="D19" s="9">
        <v>8010</v>
      </c>
      <c r="E19" s="9">
        <v>104</v>
      </c>
      <c r="G19" s="9">
        <v>140</v>
      </c>
      <c r="H19" s="9">
        <v>1680</v>
      </c>
      <c r="I19" s="10" t="str">
        <f>VLOOKUP(TableTemp[[#This Row],[Company ID]],MCompany[],2,0)</f>
        <v>Urban Right</v>
      </c>
      <c r="J19" s="10" t="str">
        <f>VLOOKUP(TableTemp[[#This Row],[Customer code]],MCustomer[],2,0)</f>
        <v>Dellicia</v>
      </c>
      <c r="K19" s="10" t="str">
        <f>VLOOKUP(TableTemp[[#This Row],[Article code]],MArticle[],2,0)</f>
        <v>Women type T simple black</v>
      </c>
      <c r="L19" s="10" t="str">
        <f>VLOOKUP(TableTemp[[#This Row],[Company ID]],MCompany[],3,0)</f>
        <v>USD</v>
      </c>
      <c r="M19" s="10">
        <f>IF(TableTemp[[#This Row],[Currency]]="EUR",ROUND(VLOOKUP(MONTH(TableTemp[[#This Row],[Document Date]]),MExchange[],2,0),2)*TableTemp[[#This Row],[Sales Local currency]],ROUND(TableTemp[[#This Row],[Sales Local currency]],2))</f>
        <v>1680</v>
      </c>
      <c r="V19"/>
      <c r="W19"/>
      <c r="X19"/>
      <c r="Y19"/>
      <c r="Z19"/>
      <c r="AA19"/>
      <c r="AB19"/>
      <c r="AC19"/>
      <c r="AH19"/>
      <c r="AI19"/>
      <c r="AJ19"/>
    </row>
    <row r="20" spans="1:36" x14ac:dyDescent="0.2">
      <c r="A20" s="9" t="s">
        <v>28</v>
      </c>
      <c r="B20" s="9">
        <v>65666</v>
      </c>
      <c r="C20" s="42">
        <v>43388</v>
      </c>
      <c r="D20" s="9">
        <v>8010</v>
      </c>
      <c r="E20" s="9">
        <v>105</v>
      </c>
      <c r="G20" s="9">
        <v>160</v>
      </c>
      <c r="H20" s="9">
        <v>1600</v>
      </c>
      <c r="I20" s="10" t="str">
        <f>VLOOKUP(TableTemp[[#This Row],[Company ID]],MCompany[],2,0)</f>
        <v>Urban Right</v>
      </c>
      <c r="J20" s="10" t="str">
        <f>VLOOKUP(TableTemp[[#This Row],[Customer code]],MCustomer[],2,0)</f>
        <v>Dellicia</v>
      </c>
      <c r="K20" s="10" t="str">
        <f>VLOOKUP(TableTemp[[#This Row],[Article code]],MArticle[],2,0)</f>
        <v>Women crop top black</v>
      </c>
      <c r="L20" s="10" t="str">
        <f>VLOOKUP(TableTemp[[#This Row],[Company ID]],MCompany[],3,0)</f>
        <v>USD</v>
      </c>
      <c r="M20" s="10">
        <f>IF(TableTemp[[#This Row],[Currency]]="EUR",ROUND(VLOOKUP(MONTH(TableTemp[[#This Row],[Document Date]]),MExchange[],2,0),2)*TableTemp[[#This Row],[Sales Local currency]],ROUND(TableTemp[[#This Row],[Sales Local currency]],2))</f>
        <v>1600</v>
      </c>
      <c r="V20"/>
      <c r="W20"/>
      <c r="X20"/>
      <c r="Y20"/>
      <c r="Z20"/>
      <c r="AA20"/>
      <c r="AB20"/>
      <c r="AC20"/>
      <c r="AH20"/>
      <c r="AI20"/>
      <c r="AJ20"/>
    </row>
    <row r="21" spans="1:36" x14ac:dyDescent="0.2">
      <c r="A21" s="9" t="s">
        <v>28</v>
      </c>
      <c r="B21" s="9">
        <v>65666</v>
      </c>
      <c r="C21" s="42">
        <v>43388</v>
      </c>
      <c r="D21" s="9">
        <v>8020</v>
      </c>
      <c r="E21" s="9">
        <v>107</v>
      </c>
      <c r="G21" s="9">
        <v>120</v>
      </c>
      <c r="H21" s="9">
        <v>600</v>
      </c>
      <c r="I21" s="10" t="str">
        <f>VLOOKUP(TableTemp[[#This Row],[Company ID]],MCompany[],2,0)</f>
        <v>Urban Right</v>
      </c>
      <c r="J21" s="10" t="str">
        <f>VLOOKUP(TableTemp[[#This Row],[Customer code]],MCustomer[],2,0)</f>
        <v>Erma</v>
      </c>
      <c r="K21" s="10" t="str">
        <f>VLOOKUP(TableTemp[[#This Row],[Article code]],MArticle[],2,0)</f>
        <v>Women basics</v>
      </c>
      <c r="L21" s="10" t="str">
        <f>VLOOKUP(TableTemp[[#This Row],[Company ID]],MCompany[],3,0)</f>
        <v>USD</v>
      </c>
      <c r="M21" s="10">
        <f>IF(TableTemp[[#This Row],[Currency]]="EUR",ROUND(VLOOKUP(MONTH(TableTemp[[#This Row],[Document Date]]),MExchange[],2,0),2)*TableTemp[[#This Row],[Sales Local currency]],ROUND(TableTemp[[#This Row],[Sales Local currency]],2))</f>
        <v>600</v>
      </c>
      <c r="V21"/>
      <c r="W21"/>
      <c r="X21"/>
      <c r="Y21"/>
      <c r="Z21"/>
      <c r="AA21"/>
      <c r="AB21"/>
      <c r="AC21"/>
      <c r="AH21"/>
      <c r="AI21"/>
      <c r="AJ21"/>
    </row>
    <row r="22" spans="1:36" x14ac:dyDescent="0.2">
      <c r="A22" s="9" t="s">
        <v>28</v>
      </c>
      <c r="B22" s="9">
        <v>65666</v>
      </c>
      <c r="C22" s="42">
        <v>43388</v>
      </c>
      <c r="D22" s="9">
        <v>8020</v>
      </c>
      <c r="E22" s="9">
        <v>103</v>
      </c>
      <c r="G22" s="9">
        <v>200</v>
      </c>
      <c r="H22" s="9">
        <v>2400</v>
      </c>
      <c r="I22" s="10" t="str">
        <f>VLOOKUP(TableTemp[[#This Row],[Company ID]],MCompany[],2,0)</f>
        <v>Urban Right</v>
      </c>
      <c r="J22" s="10" t="str">
        <f>VLOOKUP(TableTemp[[#This Row],[Customer code]],MCustomer[],2,0)</f>
        <v>Erma</v>
      </c>
      <c r="K22" s="10" t="str">
        <f>VLOOKUP(TableTemp[[#This Row],[Article code]],MArticle[],2,0)</f>
        <v>Women type T simple white</v>
      </c>
      <c r="L22" s="10" t="str">
        <f>VLOOKUP(TableTemp[[#This Row],[Company ID]],MCompany[],3,0)</f>
        <v>USD</v>
      </c>
      <c r="M22" s="10">
        <f>IF(TableTemp[[#This Row],[Currency]]="EUR",ROUND(VLOOKUP(MONTH(TableTemp[[#This Row],[Document Date]]),MExchange[],2,0),2)*TableTemp[[#This Row],[Sales Local currency]],ROUND(TableTemp[[#This Row],[Sales Local currency]],2))</f>
        <v>2400</v>
      </c>
      <c r="V22"/>
      <c r="W22"/>
      <c r="X22"/>
      <c r="AA22"/>
      <c r="AB22"/>
      <c r="AC22"/>
      <c r="AH22"/>
      <c r="AI22"/>
      <c r="AJ22"/>
    </row>
    <row r="23" spans="1:36" x14ac:dyDescent="0.2">
      <c r="A23" s="9" t="s">
        <v>28</v>
      </c>
      <c r="B23" s="9">
        <v>66015</v>
      </c>
      <c r="C23" s="42">
        <v>43383</v>
      </c>
      <c r="D23" s="9">
        <v>8010</v>
      </c>
      <c r="E23" s="9">
        <v>103</v>
      </c>
      <c r="G23" s="9">
        <v>140</v>
      </c>
      <c r="H23" s="9">
        <v>1680</v>
      </c>
      <c r="I23" s="10" t="str">
        <f>VLOOKUP(TableTemp[[#This Row],[Company ID]],MCompany[],2,0)</f>
        <v>Urban Right</v>
      </c>
      <c r="J23" s="10" t="str">
        <f>VLOOKUP(TableTemp[[#This Row],[Customer code]],MCustomer[],2,0)</f>
        <v>Dellicia</v>
      </c>
      <c r="K23" s="10" t="str">
        <f>VLOOKUP(TableTemp[[#This Row],[Article code]],MArticle[],2,0)</f>
        <v>Women type T simple white</v>
      </c>
      <c r="L23" s="10" t="str">
        <f>VLOOKUP(TableTemp[[#This Row],[Company ID]],MCompany[],3,0)</f>
        <v>USD</v>
      </c>
      <c r="M23" s="10">
        <f>IF(TableTemp[[#This Row],[Currency]]="EUR",ROUND(VLOOKUP(MONTH(TableTemp[[#This Row],[Document Date]]),MExchange[],2,0),2)*TableTemp[[#This Row],[Sales Local currency]],ROUND(TableTemp[[#This Row],[Sales Local currency]],2))</f>
        <v>1680</v>
      </c>
      <c r="V23"/>
      <c r="W23"/>
      <c r="X23"/>
      <c r="AA23"/>
      <c r="AB23"/>
      <c r="AC23"/>
      <c r="AH23"/>
      <c r="AI23"/>
      <c r="AJ23"/>
    </row>
    <row r="24" spans="1:36" x14ac:dyDescent="0.2">
      <c r="A24" s="9" t="s">
        <v>28</v>
      </c>
      <c r="B24" s="9">
        <v>66015</v>
      </c>
      <c r="C24" s="42">
        <v>43383</v>
      </c>
      <c r="D24" s="9">
        <v>8010</v>
      </c>
      <c r="E24" s="9">
        <v>104</v>
      </c>
      <c r="G24" s="9">
        <v>140</v>
      </c>
      <c r="H24" s="9">
        <v>1680</v>
      </c>
      <c r="I24" s="10" t="str">
        <f>VLOOKUP(TableTemp[[#This Row],[Company ID]],MCompany[],2,0)</f>
        <v>Urban Right</v>
      </c>
      <c r="J24" s="10" t="str">
        <f>VLOOKUP(TableTemp[[#This Row],[Customer code]],MCustomer[],2,0)</f>
        <v>Dellicia</v>
      </c>
      <c r="K24" s="10" t="str">
        <f>VLOOKUP(TableTemp[[#This Row],[Article code]],MArticle[],2,0)</f>
        <v>Women type T simple black</v>
      </c>
      <c r="L24" s="10" t="str">
        <f>VLOOKUP(TableTemp[[#This Row],[Company ID]],MCompany[],3,0)</f>
        <v>USD</v>
      </c>
      <c r="M24" s="10">
        <f>IF(TableTemp[[#This Row],[Currency]]="EUR",ROUND(VLOOKUP(MONTH(TableTemp[[#This Row],[Document Date]]),MExchange[],2,0),2)*TableTemp[[#This Row],[Sales Local currency]],ROUND(TableTemp[[#This Row],[Sales Local currency]],2))</f>
        <v>1680</v>
      </c>
      <c r="V24"/>
      <c r="W24"/>
      <c r="X24"/>
      <c r="AH24"/>
      <c r="AI24"/>
      <c r="AJ24"/>
    </row>
    <row r="25" spans="1:36" x14ac:dyDescent="0.2">
      <c r="A25" s="9" t="s">
        <v>28</v>
      </c>
      <c r="B25" s="9">
        <v>66017</v>
      </c>
      <c r="C25" s="42">
        <v>43386</v>
      </c>
      <c r="D25" s="9">
        <v>8010</v>
      </c>
      <c r="E25" s="9">
        <v>103</v>
      </c>
      <c r="G25" s="9">
        <v>140</v>
      </c>
      <c r="H25" s="9">
        <v>1680</v>
      </c>
      <c r="I25" s="10" t="str">
        <f>VLOOKUP(TableTemp[[#This Row],[Company ID]],MCompany[],2,0)</f>
        <v>Urban Right</v>
      </c>
      <c r="J25" s="10" t="str">
        <f>VLOOKUP(TableTemp[[#This Row],[Customer code]],MCustomer[],2,0)</f>
        <v>Dellicia</v>
      </c>
      <c r="K25" s="10" t="str">
        <f>VLOOKUP(TableTemp[[#This Row],[Article code]],MArticle[],2,0)</f>
        <v>Women type T simple white</v>
      </c>
      <c r="L25" s="10" t="str">
        <f>VLOOKUP(TableTemp[[#This Row],[Company ID]],MCompany[],3,0)</f>
        <v>USD</v>
      </c>
      <c r="M25" s="10">
        <f>IF(TableTemp[[#This Row],[Currency]]="EUR",ROUND(VLOOKUP(MONTH(TableTemp[[#This Row],[Document Date]]),MExchange[],2,0),2)*TableTemp[[#This Row],[Sales Local currency]],ROUND(TableTemp[[#This Row],[Sales Local currency]],2))</f>
        <v>1680</v>
      </c>
      <c r="V25"/>
      <c r="W25"/>
      <c r="X25"/>
      <c r="AH25"/>
      <c r="AI25"/>
      <c r="AJ25"/>
    </row>
    <row r="26" spans="1:36" x14ac:dyDescent="0.2">
      <c r="A26" s="9" t="s">
        <v>28</v>
      </c>
      <c r="B26" s="9">
        <v>66017</v>
      </c>
      <c r="C26" s="42">
        <v>43386</v>
      </c>
      <c r="D26" s="9">
        <v>8010</v>
      </c>
      <c r="E26" s="9">
        <v>104</v>
      </c>
      <c r="G26" s="9">
        <v>140</v>
      </c>
      <c r="H26" s="9">
        <v>1680</v>
      </c>
      <c r="I26" s="10" t="str">
        <f>VLOOKUP(TableTemp[[#This Row],[Company ID]],MCompany[],2,0)</f>
        <v>Urban Right</v>
      </c>
      <c r="J26" s="10" t="str">
        <f>VLOOKUP(TableTemp[[#This Row],[Customer code]],MCustomer[],2,0)</f>
        <v>Dellicia</v>
      </c>
      <c r="K26" s="10" t="str">
        <f>VLOOKUP(TableTemp[[#This Row],[Article code]],MArticle[],2,0)</f>
        <v>Women type T simple black</v>
      </c>
      <c r="L26" s="10" t="str">
        <f>VLOOKUP(TableTemp[[#This Row],[Company ID]],MCompany[],3,0)</f>
        <v>USD</v>
      </c>
      <c r="M26" s="10">
        <f>IF(TableTemp[[#This Row],[Currency]]="EUR",ROUND(VLOOKUP(MONTH(TableTemp[[#This Row],[Document Date]]),MExchange[],2,0),2)*TableTemp[[#This Row],[Sales Local currency]],ROUND(TableTemp[[#This Row],[Sales Local currency]],2))</f>
        <v>1680</v>
      </c>
      <c r="V26"/>
      <c r="W26"/>
      <c r="X26"/>
      <c r="AH26"/>
      <c r="AI26"/>
      <c r="AJ26"/>
    </row>
    <row r="27" spans="1:36" x14ac:dyDescent="0.2">
      <c r="A27" s="9" t="s">
        <v>28</v>
      </c>
      <c r="B27" s="9">
        <v>66016</v>
      </c>
      <c r="C27" s="42">
        <v>43387</v>
      </c>
      <c r="D27" s="9">
        <v>8020</v>
      </c>
      <c r="E27" s="9">
        <v>103</v>
      </c>
      <c r="G27" s="9">
        <v>120</v>
      </c>
      <c r="H27" s="9">
        <v>1440</v>
      </c>
      <c r="I27" s="10" t="str">
        <f>VLOOKUP(TableTemp[[#This Row],[Company ID]],MCompany[],2,0)</f>
        <v>Urban Right</v>
      </c>
      <c r="J27" s="10" t="str">
        <f>VLOOKUP(TableTemp[[#This Row],[Customer code]],MCustomer[],2,0)</f>
        <v>Erma</v>
      </c>
      <c r="K27" s="10" t="str">
        <f>VLOOKUP(TableTemp[[#This Row],[Article code]],MArticle[],2,0)</f>
        <v>Women type T simple white</v>
      </c>
      <c r="L27" s="10" t="str">
        <f>VLOOKUP(TableTemp[[#This Row],[Company ID]],MCompany[],3,0)</f>
        <v>USD</v>
      </c>
      <c r="M27" s="10">
        <f>IF(TableTemp[[#This Row],[Currency]]="EUR",ROUND(VLOOKUP(MONTH(TableTemp[[#This Row],[Document Date]]),MExchange[],2,0),2)*TableTemp[[#This Row],[Sales Local currency]],ROUND(TableTemp[[#This Row],[Sales Local currency]],2))</f>
        <v>1440</v>
      </c>
      <c r="V27"/>
      <c r="W27"/>
      <c r="X27"/>
      <c r="AH27"/>
      <c r="AI27"/>
      <c r="AJ27"/>
    </row>
    <row r="28" spans="1:36" x14ac:dyDescent="0.2">
      <c r="A28" s="9" t="s">
        <v>28</v>
      </c>
      <c r="B28" s="9">
        <v>66016</v>
      </c>
      <c r="C28" s="42">
        <v>43387</v>
      </c>
      <c r="D28" s="9">
        <v>8020</v>
      </c>
      <c r="E28" s="9">
        <v>104</v>
      </c>
      <c r="G28" s="9">
        <v>130</v>
      </c>
      <c r="H28" s="9">
        <v>1560</v>
      </c>
      <c r="I28" s="10" t="str">
        <f>VLOOKUP(TableTemp[[#This Row],[Company ID]],MCompany[],2,0)</f>
        <v>Urban Right</v>
      </c>
      <c r="J28" s="10" t="str">
        <f>VLOOKUP(TableTemp[[#This Row],[Customer code]],MCustomer[],2,0)</f>
        <v>Erma</v>
      </c>
      <c r="K28" s="10" t="str">
        <f>VLOOKUP(TableTemp[[#This Row],[Article code]],MArticle[],2,0)</f>
        <v>Women type T simple black</v>
      </c>
      <c r="L28" s="10" t="str">
        <f>VLOOKUP(TableTemp[[#This Row],[Company ID]],MCompany[],3,0)</f>
        <v>USD</v>
      </c>
      <c r="M28" s="10">
        <f>IF(TableTemp[[#This Row],[Currency]]="EUR",ROUND(VLOOKUP(MONTH(TableTemp[[#This Row],[Document Date]]),MExchange[],2,0),2)*TableTemp[[#This Row],[Sales Local currency]],ROUND(TableTemp[[#This Row],[Sales Local currency]],2))</f>
        <v>1560</v>
      </c>
      <c r="V28"/>
      <c r="W28"/>
      <c r="X28"/>
      <c r="AH28"/>
      <c r="AI28"/>
      <c r="AJ28"/>
    </row>
    <row r="29" spans="1:36" x14ac:dyDescent="0.2">
      <c r="A29" s="9" t="s">
        <v>28</v>
      </c>
      <c r="B29" s="9">
        <v>66016</v>
      </c>
      <c r="C29" s="42">
        <v>43387</v>
      </c>
      <c r="D29" s="9">
        <v>8020</v>
      </c>
      <c r="E29" s="9">
        <v>105</v>
      </c>
      <c r="G29" s="9">
        <v>120</v>
      </c>
      <c r="H29" s="9">
        <v>1200</v>
      </c>
      <c r="I29" s="10" t="str">
        <f>VLOOKUP(TableTemp[[#This Row],[Company ID]],MCompany[],2,0)</f>
        <v>Urban Right</v>
      </c>
      <c r="J29" s="10" t="str">
        <f>VLOOKUP(TableTemp[[#This Row],[Customer code]],MCustomer[],2,0)</f>
        <v>Erma</v>
      </c>
      <c r="K29" s="10" t="str">
        <f>VLOOKUP(TableTemp[[#This Row],[Article code]],MArticle[],2,0)</f>
        <v>Women crop top black</v>
      </c>
      <c r="L29" s="10" t="str">
        <f>VLOOKUP(TableTemp[[#This Row],[Company ID]],MCompany[],3,0)</f>
        <v>USD</v>
      </c>
      <c r="M29" s="10">
        <f>IF(TableTemp[[#This Row],[Currency]]="EUR",ROUND(VLOOKUP(MONTH(TableTemp[[#This Row],[Document Date]]),MExchange[],2,0),2)*TableTemp[[#This Row],[Sales Local currency]],ROUND(TableTemp[[#This Row],[Sales Local currency]],2))</f>
        <v>1200</v>
      </c>
      <c r="V29"/>
      <c r="W29"/>
      <c r="X29"/>
      <c r="AH29"/>
      <c r="AI29"/>
      <c r="AJ29"/>
    </row>
    <row r="30" spans="1:36" x14ac:dyDescent="0.2">
      <c r="A30" s="9" t="s">
        <v>28</v>
      </c>
      <c r="B30" s="9">
        <v>68097</v>
      </c>
      <c r="C30" s="42">
        <v>43390</v>
      </c>
      <c r="D30" s="9">
        <v>8010</v>
      </c>
      <c r="E30" s="9">
        <v>104</v>
      </c>
      <c r="G30" s="9">
        <v>140</v>
      </c>
      <c r="H30" s="9">
        <v>1680</v>
      </c>
      <c r="I30" s="10" t="str">
        <f>VLOOKUP(TableTemp[[#This Row],[Company ID]],MCompany[],2,0)</f>
        <v>Urban Right</v>
      </c>
      <c r="J30" s="10" t="str">
        <f>VLOOKUP(TableTemp[[#This Row],[Customer code]],MCustomer[],2,0)</f>
        <v>Dellicia</v>
      </c>
      <c r="K30" s="10" t="str">
        <f>VLOOKUP(TableTemp[[#This Row],[Article code]],MArticle[],2,0)</f>
        <v>Women type T simple black</v>
      </c>
      <c r="L30" s="10" t="str">
        <f>VLOOKUP(TableTemp[[#This Row],[Company ID]],MCompany[],3,0)</f>
        <v>USD</v>
      </c>
      <c r="M30" s="10">
        <f>IF(TableTemp[[#This Row],[Currency]]="EUR",ROUND(VLOOKUP(MONTH(TableTemp[[#This Row],[Document Date]]),MExchange[],2,0),2)*TableTemp[[#This Row],[Sales Local currency]],ROUND(TableTemp[[#This Row],[Sales Local currency]],2))</f>
        <v>1680</v>
      </c>
      <c r="AH30"/>
      <c r="AI30"/>
      <c r="AJ30"/>
    </row>
    <row r="31" spans="1:36" x14ac:dyDescent="0.2">
      <c r="A31" s="9" t="s">
        <v>28</v>
      </c>
      <c r="B31" s="9">
        <v>68097</v>
      </c>
      <c r="C31" s="42">
        <v>43390</v>
      </c>
      <c r="D31" s="9">
        <v>8010</v>
      </c>
      <c r="E31" s="9">
        <v>105</v>
      </c>
      <c r="G31" s="9">
        <v>130</v>
      </c>
      <c r="H31" s="9">
        <v>1300</v>
      </c>
      <c r="I31" s="10" t="str">
        <f>VLOOKUP(TableTemp[[#This Row],[Company ID]],MCompany[],2,0)</f>
        <v>Urban Right</v>
      </c>
      <c r="J31" s="10" t="str">
        <f>VLOOKUP(TableTemp[[#This Row],[Customer code]],MCustomer[],2,0)</f>
        <v>Dellicia</v>
      </c>
      <c r="K31" s="10" t="str">
        <f>VLOOKUP(TableTemp[[#This Row],[Article code]],MArticle[],2,0)</f>
        <v>Women crop top black</v>
      </c>
      <c r="L31" s="10" t="str">
        <f>VLOOKUP(TableTemp[[#This Row],[Company ID]],MCompany[],3,0)</f>
        <v>USD</v>
      </c>
      <c r="M31" s="10">
        <f>IF(TableTemp[[#This Row],[Currency]]="EUR",ROUND(VLOOKUP(MONTH(TableTemp[[#This Row],[Document Date]]),MExchange[],2,0),2)*TableTemp[[#This Row],[Sales Local currency]],ROUND(TableTemp[[#This Row],[Sales Local currency]],2))</f>
        <v>1300</v>
      </c>
      <c r="AH31"/>
      <c r="AI31"/>
      <c r="AJ31"/>
    </row>
    <row r="32" spans="1:36" x14ac:dyDescent="0.2">
      <c r="A32" s="9" t="s">
        <v>28</v>
      </c>
      <c r="B32" s="9">
        <v>68099</v>
      </c>
      <c r="C32" s="42">
        <v>43390</v>
      </c>
      <c r="D32" s="9">
        <v>8020</v>
      </c>
      <c r="E32" s="9">
        <v>104</v>
      </c>
      <c r="G32" s="9">
        <v>120</v>
      </c>
      <c r="H32" s="9">
        <v>1440</v>
      </c>
      <c r="I32" s="10" t="str">
        <f>VLOOKUP(TableTemp[[#This Row],[Company ID]],MCompany[],2,0)</f>
        <v>Urban Right</v>
      </c>
      <c r="J32" s="10" t="str">
        <f>VLOOKUP(TableTemp[[#This Row],[Customer code]],MCustomer[],2,0)</f>
        <v>Erma</v>
      </c>
      <c r="K32" s="10" t="str">
        <f>VLOOKUP(TableTemp[[#This Row],[Article code]],MArticle[],2,0)</f>
        <v>Women type T simple black</v>
      </c>
      <c r="L32" s="10" t="str">
        <f>VLOOKUP(TableTemp[[#This Row],[Company ID]],MCompany[],3,0)</f>
        <v>USD</v>
      </c>
      <c r="M32" s="10">
        <f>IF(TableTemp[[#This Row],[Currency]]="EUR",ROUND(VLOOKUP(MONTH(TableTemp[[#This Row],[Document Date]]),MExchange[],2,0),2)*TableTemp[[#This Row],[Sales Local currency]],ROUND(TableTemp[[#This Row],[Sales Local currency]],2))</f>
        <v>1440</v>
      </c>
      <c r="AH32"/>
      <c r="AI32"/>
      <c r="AJ32"/>
    </row>
    <row r="33" spans="1:36" x14ac:dyDescent="0.2">
      <c r="A33" s="9" t="s">
        <v>28</v>
      </c>
      <c r="B33" s="9">
        <v>68099</v>
      </c>
      <c r="C33" s="42">
        <v>43390</v>
      </c>
      <c r="D33" s="9">
        <v>8020</v>
      </c>
      <c r="E33" s="9">
        <v>105</v>
      </c>
      <c r="F33" s="9">
        <v>2</v>
      </c>
      <c r="G33" s="9">
        <v>140</v>
      </c>
      <c r="H33" s="9">
        <v>1400</v>
      </c>
      <c r="I33" s="10" t="str">
        <f>VLOOKUP(TableTemp[[#This Row],[Company ID]],MCompany[],2,0)</f>
        <v>Urban Right</v>
      </c>
      <c r="J33" s="10" t="str">
        <f>VLOOKUP(TableTemp[[#This Row],[Customer code]],MCustomer[],2,0)</f>
        <v>Erma</v>
      </c>
      <c r="K33" s="10" t="str">
        <f>VLOOKUP(TableTemp[[#This Row],[Article code]],MArticle[],2,0)</f>
        <v>Women crop top black</v>
      </c>
      <c r="L33" s="10" t="str">
        <f>VLOOKUP(TableTemp[[#This Row],[Company ID]],MCompany[],3,0)</f>
        <v>USD</v>
      </c>
      <c r="M33" s="10">
        <f>IF(TableTemp[[#This Row],[Currency]]="EUR",ROUND(VLOOKUP(MONTH(TableTemp[[#This Row],[Document Date]]),MExchange[],2,0),2)*TableTemp[[#This Row],[Sales Local currency]],ROUND(TableTemp[[#This Row],[Sales Local currency]],2))</f>
        <v>1400</v>
      </c>
      <c r="AH33"/>
      <c r="AI33"/>
      <c r="AJ33"/>
    </row>
    <row r="34" spans="1:36" x14ac:dyDescent="0.2">
      <c r="A34" s="9" t="s">
        <v>28</v>
      </c>
      <c r="B34" s="9">
        <v>68099</v>
      </c>
      <c r="C34" s="42">
        <v>43390</v>
      </c>
      <c r="D34" s="9">
        <v>8020</v>
      </c>
      <c r="E34" s="9">
        <v>107</v>
      </c>
      <c r="G34" s="9">
        <v>170</v>
      </c>
      <c r="H34" s="9">
        <v>850</v>
      </c>
      <c r="I34" s="10" t="str">
        <f>VLOOKUP(TableTemp[[#This Row],[Company ID]],MCompany[],2,0)</f>
        <v>Urban Right</v>
      </c>
      <c r="J34" s="10" t="str">
        <f>VLOOKUP(TableTemp[[#This Row],[Customer code]],MCustomer[],2,0)</f>
        <v>Erma</v>
      </c>
      <c r="K34" s="10" t="str">
        <f>VLOOKUP(TableTemp[[#This Row],[Article code]],MArticle[],2,0)</f>
        <v>Women basics</v>
      </c>
      <c r="L34" s="10" t="str">
        <f>VLOOKUP(TableTemp[[#This Row],[Company ID]],MCompany[],3,0)</f>
        <v>USD</v>
      </c>
      <c r="M34" s="10">
        <f>IF(TableTemp[[#This Row],[Currency]]="EUR",ROUND(VLOOKUP(MONTH(TableTemp[[#This Row],[Document Date]]),MExchange[],2,0),2)*TableTemp[[#This Row],[Sales Local currency]],ROUND(TableTemp[[#This Row],[Sales Local currency]],2))</f>
        <v>850</v>
      </c>
      <c r="AH34"/>
      <c r="AI34"/>
      <c r="AJ34"/>
    </row>
    <row r="35" spans="1:36" x14ac:dyDescent="0.2">
      <c r="A35" s="9" t="s">
        <v>28</v>
      </c>
      <c r="B35" s="9">
        <v>68101</v>
      </c>
      <c r="C35" s="42">
        <v>43390</v>
      </c>
      <c r="D35" s="9">
        <v>8010</v>
      </c>
      <c r="E35" s="9">
        <v>104</v>
      </c>
      <c r="G35" s="9">
        <v>190</v>
      </c>
      <c r="H35" s="9">
        <v>2280</v>
      </c>
      <c r="I35" s="10" t="str">
        <f>VLOOKUP(TableTemp[[#This Row],[Company ID]],MCompany[],2,0)</f>
        <v>Urban Right</v>
      </c>
      <c r="J35" s="10" t="str">
        <f>VLOOKUP(TableTemp[[#This Row],[Customer code]],MCustomer[],2,0)</f>
        <v>Dellicia</v>
      </c>
      <c r="K35" s="10" t="str">
        <f>VLOOKUP(TableTemp[[#This Row],[Article code]],MArticle[],2,0)</f>
        <v>Women type T simple black</v>
      </c>
      <c r="L35" s="10" t="str">
        <f>VLOOKUP(TableTemp[[#This Row],[Company ID]],MCompany[],3,0)</f>
        <v>USD</v>
      </c>
      <c r="M35" s="10">
        <f>IF(TableTemp[[#This Row],[Currency]]="EUR",ROUND(VLOOKUP(MONTH(TableTemp[[#This Row],[Document Date]]),MExchange[],2,0),2)*TableTemp[[#This Row],[Sales Local currency]],ROUND(TableTemp[[#This Row],[Sales Local currency]],2))</f>
        <v>2280</v>
      </c>
      <c r="AH35"/>
      <c r="AI35"/>
      <c r="AJ35"/>
    </row>
    <row r="36" spans="1:36" x14ac:dyDescent="0.2">
      <c r="A36" s="9" t="s">
        <v>28</v>
      </c>
      <c r="B36" s="9">
        <v>68101</v>
      </c>
      <c r="C36" s="42">
        <v>43390</v>
      </c>
      <c r="D36" s="9">
        <v>8010</v>
      </c>
      <c r="E36" s="9">
        <v>105</v>
      </c>
      <c r="G36" s="9">
        <v>140</v>
      </c>
      <c r="H36" s="9">
        <v>1400</v>
      </c>
      <c r="I36" s="10" t="str">
        <f>VLOOKUP(TableTemp[[#This Row],[Company ID]],MCompany[],2,0)</f>
        <v>Urban Right</v>
      </c>
      <c r="J36" s="10" t="str">
        <f>VLOOKUP(TableTemp[[#This Row],[Customer code]],MCustomer[],2,0)</f>
        <v>Dellicia</v>
      </c>
      <c r="K36" s="10" t="str">
        <f>VLOOKUP(TableTemp[[#This Row],[Article code]],MArticle[],2,0)</f>
        <v>Women crop top black</v>
      </c>
      <c r="L36" s="10" t="str">
        <f>VLOOKUP(TableTemp[[#This Row],[Company ID]],MCompany[],3,0)</f>
        <v>USD</v>
      </c>
      <c r="M36" s="10">
        <f>IF(TableTemp[[#This Row],[Currency]]="EUR",ROUND(VLOOKUP(MONTH(TableTemp[[#This Row],[Document Date]]),MExchange[],2,0),2)*TableTemp[[#This Row],[Sales Local currency]],ROUND(TableTemp[[#This Row],[Sales Local currency]],2))</f>
        <v>1400</v>
      </c>
      <c r="AH36"/>
      <c r="AI36"/>
      <c r="AJ36"/>
    </row>
    <row r="37" spans="1:36" x14ac:dyDescent="0.2">
      <c r="A37" s="9" t="s">
        <v>28</v>
      </c>
      <c r="B37" s="9">
        <v>65627</v>
      </c>
      <c r="C37" s="42">
        <v>43394</v>
      </c>
      <c r="D37" s="9">
        <v>8020</v>
      </c>
      <c r="E37" s="9">
        <v>103</v>
      </c>
      <c r="G37" s="9">
        <v>140</v>
      </c>
      <c r="H37" s="9">
        <v>1680</v>
      </c>
      <c r="I37" s="10" t="str">
        <f>VLOOKUP(TableTemp[[#This Row],[Company ID]],MCompany[],2,0)</f>
        <v>Urban Right</v>
      </c>
      <c r="J37" s="10" t="str">
        <f>VLOOKUP(TableTemp[[#This Row],[Customer code]],MCustomer[],2,0)</f>
        <v>Erma</v>
      </c>
      <c r="K37" s="10" t="str">
        <f>VLOOKUP(TableTemp[[#This Row],[Article code]],MArticle[],2,0)</f>
        <v>Women type T simple white</v>
      </c>
      <c r="L37" s="10" t="str">
        <f>VLOOKUP(TableTemp[[#This Row],[Company ID]],MCompany[],3,0)</f>
        <v>USD</v>
      </c>
      <c r="M37" s="10">
        <f>IF(TableTemp[[#This Row],[Currency]]="EUR",ROUND(VLOOKUP(MONTH(TableTemp[[#This Row],[Document Date]]),MExchange[],2,0),2)*TableTemp[[#This Row],[Sales Local currency]],ROUND(TableTemp[[#This Row],[Sales Local currency]],2))</f>
        <v>1680</v>
      </c>
      <c r="AH37"/>
      <c r="AI37"/>
      <c r="AJ37"/>
    </row>
    <row r="38" spans="1:36" x14ac:dyDescent="0.2">
      <c r="A38" s="9" t="s">
        <v>28</v>
      </c>
      <c r="B38" s="9">
        <v>65627</v>
      </c>
      <c r="C38" s="42">
        <v>43394</v>
      </c>
      <c r="D38" s="9">
        <v>8020</v>
      </c>
      <c r="E38" s="9">
        <v>104</v>
      </c>
      <c r="F38" s="9">
        <v>3</v>
      </c>
      <c r="G38" s="9">
        <v>160</v>
      </c>
      <c r="H38" s="9">
        <v>1920</v>
      </c>
      <c r="I38" s="10" t="str">
        <f>VLOOKUP(TableTemp[[#This Row],[Company ID]],MCompany[],2,0)</f>
        <v>Urban Right</v>
      </c>
      <c r="J38" s="10" t="str">
        <f>VLOOKUP(TableTemp[[#This Row],[Customer code]],MCustomer[],2,0)</f>
        <v>Erma</v>
      </c>
      <c r="K38" s="10" t="str">
        <f>VLOOKUP(TableTemp[[#This Row],[Article code]],MArticle[],2,0)</f>
        <v>Women type T simple black</v>
      </c>
      <c r="L38" s="10" t="str">
        <f>VLOOKUP(TableTemp[[#This Row],[Company ID]],MCompany[],3,0)</f>
        <v>USD</v>
      </c>
      <c r="M38" s="10">
        <f>IF(TableTemp[[#This Row],[Currency]]="EUR",ROUND(VLOOKUP(MONTH(TableTemp[[#This Row],[Document Date]]),MExchange[],2,0),2)*TableTemp[[#This Row],[Sales Local currency]],ROUND(TableTemp[[#This Row],[Sales Local currency]],2))</f>
        <v>1920</v>
      </c>
      <c r="AH38"/>
      <c r="AI38"/>
      <c r="AJ38"/>
    </row>
    <row r="39" spans="1:36" x14ac:dyDescent="0.2">
      <c r="A39" s="9" t="s">
        <v>28</v>
      </c>
      <c r="B39" s="9">
        <v>65629</v>
      </c>
      <c r="C39" s="42">
        <v>43394</v>
      </c>
      <c r="D39" s="9">
        <v>8010</v>
      </c>
      <c r="E39" s="9">
        <v>103</v>
      </c>
      <c r="G39" s="9">
        <v>190</v>
      </c>
      <c r="H39" s="9">
        <v>2280</v>
      </c>
      <c r="I39" s="10" t="str">
        <f>VLOOKUP(TableTemp[[#This Row],[Company ID]],MCompany[],2,0)</f>
        <v>Urban Right</v>
      </c>
      <c r="J39" s="10" t="str">
        <f>VLOOKUP(TableTemp[[#This Row],[Customer code]],MCustomer[],2,0)</f>
        <v>Dellicia</v>
      </c>
      <c r="K39" s="10" t="str">
        <f>VLOOKUP(TableTemp[[#This Row],[Article code]],MArticle[],2,0)</f>
        <v>Women type T simple white</v>
      </c>
      <c r="L39" s="10" t="str">
        <f>VLOOKUP(TableTemp[[#This Row],[Company ID]],MCompany[],3,0)</f>
        <v>USD</v>
      </c>
      <c r="M39" s="10">
        <f>IF(TableTemp[[#This Row],[Currency]]="EUR",ROUND(VLOOKUP(MONTH(TableTemp[[#This Row],[Document Date]]),MExchange[],2,0),2)*TableTemp[[#This Row],[Sales Local currency]],ROUND(TableTemp[[#This Row],[Sales Local currency]],2))</f>
        <v>2280</v>
      </c>
      <c r="AH39"/>
      <c r="AI39"/>
      <c r="AJ39"/>
    </row>
    <row r="40" spans="1:36" x14ac:dyDescent="0.2">
      <c r="A40" s="9" t="s">
        <v>28</v>
      </c>
      <c r="B40" s="9">
        <v>65629</v>
      </c>
      <c r="C40" s="42">
        <v>43394</v>
      </c>
      <c r="D40" s="9">
        <v>8010</v>
      </c>
      <c r="E40" s="9">
        <v>104</v>
      </c>
      <c r="G40" s="9">
        <v>130</v>
      </c>
      <c r="H40" s="9">
        <v>1560</v>
      </c>
      <c r="I40" s="10" t="str">
        <f>VLOOKUP(TableTemp[[#This Row],[Company ID]],MCompany[],2,0)</f>
        <v>Urban Right</v>
      </c>
      <c r="J40" s="10" t="str">
        <f>VLOOKUP(TableTemp[[#This Row],[Customer code]],MCustomer[],2,0)</f>
        <v>Dellicia</v>
      </c>
      <c r="K40" s="10" t="str">
        <f>VLOOKUP(TableTemp[[#This Row],[Article code]],MArticle[],2,0)</f>
        <v>Women type T simple black</v>
      </c>
      <c r="L40" s="10" t="str">
        <f>VLOOKUP(TableTemp[[#This Row],[Company ID]],MCompany[],3,0)</f>
        <v>USD</v>
      </c>
      <c r="M40" s="10">
        <f>IF(TableTemp[[#This Row],[Currency]]="EUR",ROUND(VLOOKUP(MONTH(TableTemp[[#This Row],[Document Date]]),MExchange[],2,0),2)*TableTemp[[#This Row],[Sales Local currency]],ROUND(TableTemp[[#This Row],[Sales Local currency]],2))</f>
        <v>1560</v>
      </c>
      <c r="AH40"/>
      <c r="AI40"/>
      <c r="AJ40"/>
    </row>
    <row r="41" spans="1:36" x14ac:dyDescent="0.2">
      <c r="A41" s="9" t="s">
        <v>28</v>
      </c>
      <c r="B41" s="9">
        <v>65629</v>
      </c>
      <c r="C41" s="42">
        <v>43394</v>
      </c>
      <c r="D41" s="9">
        <v>8010</v>
      </c>
      <c r="E41" s="9">
        <v>105</v>
      </c>
      <c r="G41" s="9">
        <v>140</v>
      </c>
      <c r="H41" s="9">
        <v>1400</v>
      </c>
      <c r="I41" s="10" t="str">
        <f>VLOOKUP(TableTemp[[#This Row],[Company ID]],MCompany[],2,0)</f>
        <v>Urban Right</v>
      </c>
      <c r="J41" s="10" t="str">
        <f>VLOOKUP(TableTemp[[#This Row],[Customer code]],MCustomer[],2,0)</f>
        <v>Dellicia</v>
      </c>
      <c r="K41" s="10" t="str">
        <f>VLOOKUP(TableTemp[[#This Row],[Article code]],MArticle[],2,0)</f>
        <v>Women crop top black</v>
      </c>
      <c r="L41" s="10" t="str">
        <f>VLOOKUP(TableTemp[[#This Row],[Company ID]],MCompany[],3,0)</f>
        <v>USD</v>
      </c>
      <c r="M41" s="10">
        <f>IF(TableTemp[[#This Row],[Currency]]="EUR",ROUND(VLOOKUP(MONTH(TableTemp[[#This Row],[Document Date]]),MExchange[],2,0),2)*TableTemp[[#This Row],[Sales Local currency]],ROUND(TableTemp[[#This Row],[Sales Local currency]],2))</f>
        <v>1400</v>
      </c>
      <c r="AH41"/>
      <c r="AI41"/>
      <c r="AJ41"/>
    </row>
    <row r="42" spans="1:36" x14ac:dyDescent="0.2">
      <c r="A42" s="9" t="s">
        <v>28</v>
      </c>
      <c r="B42" s="9">
        <v>65631</v>
      </c>
      <c r="C42" s="42">
        <v>43394</v>
      </c>
      <c r="D42" s="9">
        <v>8020</v>
      </c>
      <c r="E42" s="9">
        <v>107</v>
      </c>
      <c r="G42" s="9">
        <v>190</v>
      </c>
      <c r="H42" s="9">
        <v>950</v>
      </c>
      <c r="I42" s="10" t="str">
        <f>VLOOKUP(TableTemp[[#This Row],[Company ID]],MCompany[],2,0)</f>
        <v>Urban Right</v>
      </c>
      <c r="J42" s="10" t="str">
        <f>VLOOKUP(TableTemp[[#This Row],[Customer code]],MCustomer[],2,0)</f>
        <v>Erma</v>
      </c>
      <c r="K42" s="10" t="str">
        <f>VLOOKUP(TableTemp[[#This Row],[Article code]],MArticle[],2,0)</f>
        <v>Women basics</v>
      </c>
      <c r="L42" s="10" t="str">
        <f>VLOOKUP(TableTemp[[#This Row],[Company ID]],MCompany[],3,0)</f>
        <v>USD</v>
      </c>
      <c r="M42" s="10">
        <f>IF(TableTemp[[#This Row],[Currency]]="EUR",ROUND(VLOOKUP(MONTH(TableTemp[[#This Row],[Document Date]]),MExchange[],2,0),2)*TableTemp[[#This Row],[Sales Local currency]],ROUND(TableTemp[[#This Row],[Sales Local currency]],2))</f>
        <v>950</v>
      </c>
      <c r="AH42"/>
      <c r="AI42"/>
      <c r="AJ42"/>
    </row>
    <row r="43" spans="1:36" x14ac:dyDescent="0.2">
      <c r="A43" s="9" t="s">
        <v>28</v>
      </c>
      <c r="B43" s="9">
        <v>65631</v>
      </c>
      <c r="C43" s="42">
        <v>43394</v>
      </c>
      <c r="D43" s="9">
        <v>8020</v>
      </c>
      <c r="E43" s="9">
        <v>103</v>
      </c>
      <c r="G43" s="9">
        <v>120</v>
      </c>
      <c r="H43" s="9">
        <v>1440</v>
      </c>
      <c r="I43" s="10" t="str">
        <f>VLOOKUP(TableTemp[[#This Row],[Company ID]],MCompany[],2,0)</f>
        <v>Urban Right</v>
      </c>
      <c r="J43" s="10" t="str">
        <f>VLOOKUP(TableTemp[[#This Row],[Customer code]],MCustomer[],2,0)</f>
        <v>Erma</v>
      </c>
      <c r="K43" s="10" t="str">
        <f>VLOOKUP(TableTemp[[#This Row],[Article code]],MArticle[],2,0)</f>
        <v>Women type T simple white</v>
      </c>
      <c r="L43" s="10" t="str">
        <f>VLOOKUP(TableTemp[[#This Row],[Company ID]],MCompany[],3,0)</f>
        <v>USD</v>
      </c>
      <c r="M43" s="10">
        <f>IF(TableTemp[[#This Row],[Currency]]="EUR",ROUND(VLOOKUP(MONTH(TableTemp[[#This Row],[Document Date]]),MExchange[],2,0),2)*TableTemp[[#This Row],[Sales Local currency]],ROUND(TableTemp[[#This Row],[Sales Local currency]],2))</f>
        <v>1440</v>
      </c>
      <c r="AH43"/>
      <c r="AI43"/>
      <c r="AJ43"/>
    </row>
    <row r="44" spans="1:36" x14ac:dyDescent="0.2">
      <c r="AH44"/>
      <c r="AI44"/>
      <c r="AJ44"/>
    </row>
    <row r="45" spans="1:36" x14ac:dyDescent="0.2">
      <c r="AH45"/>
      <c r="AI45"/>
      <c r="AJ45"/>
    </row>
    <row r="46" spans="1:36" x14ac:dyDescent="0.2">
      <c r="AH46"/>
      <c r="AI46"/>
      <c r="AJ46"/>
    </row>
    <row r="47" spans="1:36" x14ac:dyDescent="0.2">
      <c r="AH47"/>
      <c r="AI47"/>
      <c r="AJ47"/>
    </row>
    <row r="48" spans="1:36" x14ac:dyDescent="0.2">
      <c r="AH48"/>
      <c r="AI48"/>
      <c r="AJ48"/>
    </row>
    <row r="49" spans="34:36" x14ac:dyDescent="0.2">
      <c r="AH49"/>
      <c r="AI49"/>
      <c r="AJ49"/>
    </row>
    <row r="50" spans="34:36" x14ac:dyDescent="0.2">
      <c r="AH50"/>
      <c r="AI50"/>
      <c r="AJ50"/>
    </row>
    <row r="51" spans="34:36" x14ac:dyDescent="0.2">
      <c r="AH51"/>
      <c r="AI51"/>
      <c r="AJ51"/>
    </row>
    <row r="52" spans="34:36" x14ac:dyDescent="0.2">
      <c r="AH52"/>
      <c r="AI52"/>
      <c r="AJ52"/>
    </row>
    <row r="53" spans="34:36" x14ac:dyDescent="0.2">
      <c r="AH53"/>
      <c r="AI53"/>
      <c r="AJ53"/>
    </row>
    <row r="54" spans="34:36" x14ac:dyDescent="0.2">
      <c r="AH54"/>
      <c r="AI54"/>
      <c r="AJ54"/>
    </row>
  </sheetData>
  <mergeCells count="1">
    <mergeCell ref="V1:AC1"/>
  </mergeCells>
  <pageMargins left="0.7" right="0.7" top="0.75" bottom="0.75" header="0.3" footer="0.3"/>
  <drawing r:id="rId5"/>
  <tableParts count="1">
    <tablePart r:id="rId6"/>
  </tableParts>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Map"/>
  <dimension ref="A1:J68"/>
  <sheetViews>
    <sheetView showGridLines="0" workbookViewId="0">
      <selection activeCell="G9" sqref="G9:G10"/>
    </sheetView>
  </sheetViews>
  <sheetFormatPr defaultRowHeight="12.75" x14ac:dyDescent="0.2"/>
  <cols>
    <col min="1" max="1" width="8.7109375" customWidth="1"/>
    <col min="2" max="2" width="21.7109375" customWidth="1"/>
    <col min="3" max="3" width="19.28515625" customWidth="1"/>
    <col min="4" max="4" width="15.140625" customWidth="1"/>
    <col min="6" max="6" width="29.85546875" customWidth="1"/>
    <col min="7" max="7" width="13.7109375" customWidth="1"/>
    <col min="14" max="14" width="22.5703125" customWidth="1"/>
  </cols>
  <sheetData>
    <row r="1" spans="1:10" x14ac:dyDescent="0.2">
      <c r="A1" s="2"/>
      <c r="B1" s="2"/>
      <c r="C1" s="2"/>
      <c r="D1" s="2"/>
      <c r="E1" s="2"/>
      <c r="F1" s="2"/>
      <c r="G1" s="2"/>
      <c r="H1" s="2"/>
      <c r="I1" s="2"/>
      <c r="J1" s="2"/>
    </row>
    <row r="2" spans="1:10" ht="15" x14ac:dyDescent="0.25">
      <c r="A2" s="3"/>
      <c r="B2" s="3" t="s">
        <v>24</v>
      </c>
      <c r="C2" s="3"/>
      <c r="D2" s="3"/>
      <c r="E2" s="3"/>
      <c r="F2" s="3"/>
      <c r="G2" s="3"/>
      <c r="H2" s="3"/>
      <c r="I2" s="3"/>
      <c r="J2" s="3"/>
    </row>
    <row r="3" spans="1:10" ht="15" x14ac:dyDescent="0.25">
      <c r="A3" s="3"/>
      <c r="B3" s="3" t="s">
        <v>25</v>
      </c>
      <c r="C3" s="3"/>
      <c r="D3" s="3"/>
      <c r="E3" s="3"/>
      <c r="F3" s="3"/>
      <c r="G3" s="3"/>
      <c r="H3" s="3"/>
      <c r="I3" s="3"/>
      <c r="J3" s="3"/>
    </row>
    <row r="4" spans="1:10" x14ac:dyDescent="0.2">
      <c r="A4" s="2"/>
      <c r="B4" s="2"/>
      <c r="C4" s="2"/>
      <c r="D4" s="2"/>
      <c r="E4" s="2"/>
      <c r="F4" s="2"/>
      <c r="G4" s="2"/>
      <c r="H4" s="2"/>
      <c r="I4" s="2"/>
      <c r="J4" s="2"/>
    </row>
    <row r="6" spans="1:10" x14ac:dyDescent="0.2">
      <c r="A6" s="4" t="s">
        <v>27</v>
      </c>
      <c r="B6" s="4"/>
      <c r="C6" s="4"/>
      <c r="D6" s="4"/>
      <c r="E6" s="4"/>
      <c r="F6" s="4"/>
      <c r="G6" s="4"/>
      <c r="H6" s="4"/>
      <c r="I6" s="4"/>
      <c r="J6" s="4"/>
    </row>
    <row r="7" spans="1:10" x14ac:dyDescent="0.2">
      <c r="A7" s="9"/>
      <c r="B7" s="9"/>
      <c r="C7" s="9"/>
      <c r="D7" s="9"/>
      <c r="E7" s="9"/>
      <c r="F7" s="9"/>
      <c r="G7" s="9"/>
      <c r="H7" s="9"/>
      <c r="I7" s="9"/>
      <c r="J7" s="9"/>
    </row>
    <row r="8" spans="1:10" ht="26.25" customHeight="1" x14ac:dyDescent="0.2">
      <c r="B8" s="5" t="s">
        <v>49</v>
      </c>
      <c r="C8" s="6" t="s">
        <v>35</v>
      </c>
      <c r="D8" s="6" t="s">
        <v>3</v>
      </c>
      <c r="E8" s="6" t="s">
        <v>52</v>
      </c>
      <c r="G8" s="6" t="s">
        <v>57</v>
      </c>
    </row>
    <row r="9" spans="1:10" x14ac:dyDescent="0.2">
      <c r="B9" t="s">
        <v>28</v>
      </c>
      <c r="C9" t="s">
        <v>32</v>
      </c>
      <c r="D9" t="s">
        <v>1</v>
      </c>
      <c r="E9" t="s">
        <v>53</v>
      </c>
      <c r="G9" t="s">
        <v>53</v>
      </c>
    </row>
    <row r="10" spans="1:10" x14ac:dyDescent="0.2">
      <c r="B10" t="s">
        <v>29</v>
      </c>
      <c r="C10" t="s">
        <v>45</v>
      </c>
      <c r="D10" t="s">
        <v>1</v>
      </c>
      <c r="E10" t="s">
        <v>53</v>
      </c>
      <c r="G10" t="s">
        <v>54</v>
      </c>
    </row>
    <row r="11" spans="1:10" x14ac:dyDescent="0.2">
      <c r="B11" s="10" t="s">
        <v>30</v>
      </c>
      <c r="C11" s="10" t="s">
        <v>34</v>
      </c>
      <c r="D11" s="10" t="s">
        <v>38</v>
      </c>
      <c r="E11" t="s">
        <v>54</v>
      </c>
    </row>
    <row r="12" spans="1:10" x14ac:dyDescent="0.2">
      <c r="B12" s="10" t="s">
        <v>31</v>
      </c>
      <c r="C12" s="10" t="s">
        <v>33</v>
      </c>
      <c r="D12" s="10" t="s">
        <v>38</v>
      </c>
      <c r="E12" t="s">
        <v>54</v>
      </c>
    </row>
    <row r="13" spans="1:10" x14ac:dyDescent="0.2">
      <c r="B13" s="10"/>
      <c r="C13" s="10"/>
      <c r="D13" s="10"/>
    </row>
    <row r="14" spans="1:10" x14ac:dyDescent="0.2">
      <c r="A14" s="4" t="s">
        <v>36</v>
      </c>
      <c r="B14" s="4"/>
      <c r="C14" s="4"/>
      <c r="D14" s="4"/>
      <c r="E14" s="4"/>
      <c r="F14" s="4"/>
      <c r="G14" s="4"/>
      <c r="H14" s="4"/>
      <c r="I14" s="4"/>
      <c r="J14" s="4"/>
    </row>
    <row r="15" spans="1:10" x14ac:dyDescent="0.2">
      <c r="A15" s="9"/>
      <c r="B15" s="9"/>
      <c r="C15" s="9"/>
      <c r="D15" s="9"/>
      <c r="E15" s="9"/>
      <c r="F15" s="9"/>
      <c r="G15" s="9"/>
      <c r="H15" s="9"/>
      <c r="I15" s="9"/>
      <c r="J15" s="9"/>
    </row>
    <row r="16" spans="1:10" ht="15" x14ac:dyDescent="0.2">
      <c r="B16" s="5" t="s">
        <v>48</v>
      </c>
      <c r="C16" s="6" t="s">
        <v>43</v>
      </c>
    </row>
    <row r="17" spans="1:10" x14ac:dyDescent="0.2">
      <c r="B17">
        <v>8010</v>
      </c>
      <c r="C17" t="s">
        <v>44</v>
      </c>
    </row>
    <row r="18" spans="1:10" x14ac:dyDescent="0.2">
      <c r="B18">
        <v>8020</v>
      </c>
      <c r="C18" t="s">
        <v>46</v>
      </c>
    </row>
    <row r="19" spans="1:10" x14ac:dyDescent="0.2">
      <c r="B19">
        <v>8030</v>
      </c>
      <c r="C19" t="s">
        <v>47</v>
      </c>
    </row>
    <row r="20" spans="1:10" x14ac:dyDescent="0.2">
      <c r="B20">
        <v>8040</v>
      </c>
      <c r="C20" t="s">
        <v>58</v>
      </c>
    </row>
    <row r="21" spans="1:10" x14ac:dyDescent="0.2">
      <c r="B21">
        <v>8050</v>
      </c>
      <c r="C21" t="s">
        <v>59</v>
      </c>
    </row>
    <row r="22" spans="1:10" x14ac:dyDescent="0.2">
      <c r="B22">
        <v>8060</v>
      </c>
      <c r="C22" t="s">
        <v>60</v>
      </c>
    </row>
    <row r="24" spans="1:10" x14ac:dyDescent="0.2">
      <c r="A24" s="4" t="s">
        <v>26</v>
      </c>
      <c r="B24" s="4"/>
      <c r="C24" s="4"/>
      <c r="D24" s="4"/>
      <c r="E24" s="4"/>
      <c r="F24" s="4"/>
      <c r="G24" s="4"/>
      <c r="H24" s="4"/>
      <c r="I24" s="4"/>
      <c r="J24" s="4"/>
    </row>
    <row r="25" spans="1:10" x14ac:dyDescent="0.2">
      <c r="A25" s="9"/>
      <c r="B25" s="9"/>
      <c r="C25" s="9"/>
      <c r="D25" s="9"/>
      <c r="E25" s="9"/>
      <c r="F25" s="9"/>
      <c r="G25" s="9"/>
      <c r="H25" s="9"/>
      <c r="I25" s="9"/>
      <c r="J25" s="9"/>
    </row>
    <row r="26" spans="1:10" ht="15" x14ac:dyDescent="0.2">
      <c r="B26" s="5" t="s">
        <v>51</v>
      </c>
      <c r="C26" s="6" t="s">
        <v>0</v>
      </c>
    </row>
    <row r="27" spans="1:10" x14ac:dyDescent="0.2">
      <c r="B27" s="1">
        <v>101</v>
      </c>
      <c r="C27" t="s">
        <v>6</v>
      </c>
      <c r="F27" s="1"/>
    </row>
    <row r="28" spans="1:10" x14ac:dyDescent="0.2">
      <c r="B28" s="1">
        <v>102</v>
      </c>
      <c r="C28" t="s">
        <v>7</v>
      </c>
      <c r="F28" s="1"/>
    </row>
    <row r="29" spans="1:10" x14ac:dyDescent="0.2">
      <c r="B29" s="1">
        <v>103</v>
      </c>
      <c r="C29" t="s">
        <v>8</v>
      </c>
      <c r="F29" s="1"/>
    </row>
    <row r="30" spans="1:10" x14ac:dyDescent="0.2">
      <c r="B30" s="1">
        <v>104</v>
      </c>
      <c r="C30" t="s">
        <v>9</v>
      </c>
      <c r="F30" s="1"/>
    </row>
    <row r="31" spans="1:10" x14ac:dyDescent="0.2">
      <c r="B31" s="1">
        <v>105</v>
      </c>
      <c r="C31" t="s">
        <v>4</v>
      </c>
      <c r="F31" s="1"/>
    </row>
    <row r="32" spans="1:10" x14ac:dyDescent="0.2">
      <c r="B32" s="1">
        <v>106</v>
      </c>
      <c r="C32" t="s">
        <v>5</v>
      </c>
      <c r="F32" s="1"/>
    </row>
    <row r="33" spans="1:6" x14ac:dyDescent="0.2">
      <c r="B33" s="1">
        <v>107</v>
      </c>
      <c r="C33" t="s">
        <v>10</v>
      </c>
      <c r="F33" s="1"/>
    </row>
    <row r="34" spans="1:6" x14ac:dyDescent="0.2">
      <c r="B34" s="1">
        <v>108</v>
      </c>
      <c r="C34" t="s">
        <v>11</v>
      </c>
      <c r="F34" s="1"/>
    </row>
    <row r="35" spans="1:6" x14ac:dyDescent="0.2">
      <c r="B35" s="1">
        <v>109</v>
      </c>
      <c r="C35" t="s">
        <v>12</v>
      </c>
      <c r="F35" s="1"/>
    </row>
    <row r="36" spans="1:6" x14ac:dyDescent="0.2">
      <c r="B36" s="1">
        <v>110</v>
      </c>
      <c r="C36" t="s">
        <v>13</v>
      </c>
      <c r="F36" s="1"/>
    </row>
    <row r="37" spans="1:6" x14ac:dyDescent="0.2">
      <c r="B37" s="1">
        <v>111</v>
      </c>
      <c r="C37" t="s">
        <v>14</v>
      </c>
      <c r="F37" s="1"/>
    </row>
    <row r="38" spans="1:6" x14ac:dyDescent="0.2">
      <c r="B38" s="1">
        <v>112</v>
      </c>
      <c r="C38" t="s">
        <v>15</v>
      </c>
      <c r="F38" s="1"/>
    </row>
    <row r="39" spans="1:6" x14ac:dyDescent="0.2">
      <c r="B39" s="1">
        <v>113</v>
      </c>
      <c r="C39" t="s">
        <v>16</v>
      </c>
      <c r="F39" s="1"/>
    </row>
    <row r="40" spans="1:6" x14ac:dyDescent="0.2">
      <c r="B40" s="1">
        <v>114</v>
      </c>
      <c r="C40" t="s">
        <v>17</v>
      </c>
      <c r="F40" s="1"/>
    </row>
    <row r="41" spans="1:6" x14ac:dyDescent="0.2">
      <c r="B41" s="1">
        <v>115</v>
      </c>
      <c r="C41" t="s">
        <v>18</v>
      </c>
      <c r="F41" s="1"/>
    </row>
    <row r="42" spans="1:6" x14ac:dyDescent="0.2">
      <c r="B42" s="1">
        <v>116</v>
      </c>
      <c r="C42" t="s">
        <v>19</v>
      </c>
      <c r="F42" s="1"/>
    </row>
    <row r="43" spans="1:6" x14ac:dyDescent="0.2">
      <c r="B43" s="1">
        <v>117</v>
      </c>
      <c r="C43" t="s">
        <v>20</v>
      </c>
      <c r="F43" s="1"/>
    </row>
    <row r="44" spans="1:6" x14ac:dyDescent="0.2">
      <c r="B44" s="1">
        <v>118</v>
      </c>
      <c r="C44" t="s">
        <v>21</v>
      </c>
      <c r="F44" s="1"/>
    </row>
    <row r="45" spans="1:6" x14ac:dyDescent="0.2">
      <c r="B45" s="1">
        <v>119</v>
      </c>
      <c r="C45" t="s">
        <v>22</v>
      </c>
      <c r="F45" s="1"/>
    </row>
    <row r="46" spans="1:6" x14ac:dyDescent="0.2">
      <c r="B46" s="1">
        <v>120</v>
      </c>
      <c r="C46" t="s">
        <v>23</v>
      </c>
      <c r="F46" s="1"/>
    </row>
    <row r="47" spans="1:6" x14ac:dyDescent="0.2">
      <c r="A47" s="1"/>
    </row>
    <row r="48" spans="1:6" x14ac:dyDescent="0.2">
      <c r="A48" s="1"/>
    </row>
    <row r="50" spans="1:10" x14ac:dyDescent="0.2">
      <c r="A50" s="4" t="s">
        <v>80</v>
      </c>
      <c r="B50" s="4"/>
      <c r="C50" s="4"/>
      <c r="D50" s="4"/>
      <c r="E50" s="4"/>
      <c r="F50" s="4"/>
      <c r="G50" s="4"/>
      <c r="H50" s="4"/>
      <c r="I50" s="4"/>
      <c r="J50" s="4"/>
    </row>
    <row r="51" spans="1:10" x14ac:dyDescent="0.2">
      <c r="A51" s="9"/>
      <c r="B51" s="9"/>
      <c r="C51" s="9"/>
      <c r="D51" s="9"/>
      <c r="E51" s="9"/>
      <c r="F51" s="9"/>
      <c r="G51" s="9"/>
      <c r="H51" s="9"/>
      <c r="I51" s="9"/>
      <c r="J51" s="9"/>
    </row>
    <row r="52" spans="1:10" ht="15" x14ac:dyDescent="0.2">
      <c r="B52" s="5" t="s">
        <v>37</v>
      </c>
      <c r="C52" s="6" t="s">
        <v>50</v>
      </c>
    </row>
    <row r="53" spans="1:10" x14ac:dyDescent="0.2">
      <c r="B53">
        <v>1</v>
      </c>
      <c r="C53">
        <v>1.0629200000000001</v>
      </c>
    </row>
    <row r="54" spans="1:10" x14ac:dyDescent="0.2">
      <c r="B54">
        <v>2</v>
      </c>
      <c r="C54">
        <v>1.064889</v>
      </c>
    </row>
    <row r="55" spans="1:10" x14ac:dyDescent="0.2">
      <c r="B55">
        <v>3</v>
      </c>
      <c r="C55">
        <v>1.069491</v>
      </c>
    </row>
    <row r="56" spans="1:10" x14ac:dyDescent="0.2">
      <c r="B56">
        <v>4</v>
      </c>
      <c r="C56">
        <v>1.0708819999999999</v>
      </c>
    </row>
    <row r="57" spans="1:10" x14ac:dyDescent="0.2">
      <c r="B57">
        <v>5</v>
      </c>
      <c r="C57">
        <v>1.106112</v>
      </c>
    </row>
    <row r="58" spans="1:10" x14ac:dyDescent="0.2">
      <c r="B58">
        <v>6</v>
      </c>
      <c r="C58">
        <v>1.1229709999999999</v>
      </c>
    </row>
    <row r="59" spans="1:10" x14ac:dyDescent="0.2">
      <c r="B59">
        <v>7</v>
      </c>
      <c r="C59">
        <v>1.1528700000000001</v>
      </c>
    </row>
    <row r="60" spans="1:10" x14ac:dyDescent="0.2">
      <c r="B60">
        <v>8</v>
      </c>
      <c r="C60">
        <v>1.181608</v>
      </c>
    </row>
    <row r="61" spans="1:10" x14ac:dyDescent="0.2">
      <c r="B61">
        <v>9</v>
      </c>
      <c r="C61">
        <v>1.191249</v>
      </c>
    </row>
    <row r="62" spans="1:10" x14ac:dyDescent="0.2">
      <c r="B62">
        <v>10</v>
      </c>
      <c r="C62">
        <v>1.174939</v>
      </c>
    </row>
    <row r="63" spans="1:10" x14ac:dyDescent="0.2">
      <c r="B63">
        <v>11</v>
      </c>
      <c r="C63">
        <v>1.1745300000000001</v>
      </c>
    </row>
    <row r="64" spans="1:10" x14ac:dyDescent="0.2">
      <c r="B64">
        <v>12</v>
      </c>
      <c r="C64">
        <v>1.19095</v>
      </c>
    </row>
    <row r="68" spans="1:10" x14ac:dyDescent="0.2">
      <c r="A68" s="4"/>
      <c r="B68" s="4"/>
      <c r="C68" s="4"/>
      <c r="D68" s="4"/>
      <c r="E68" s="4"/>
      <c r="F68" s="4"/>
      <c r="G68" s="4"/>
      <c r="H68" s="4"/>
      <c r="I68" s="4"/>
      <c r="J68" s="4"/>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NewDat"/>
  <dimension ref="A2:I46"/>
  <sheetViews>
    <sheetView workbookViewId="0">
      <selection sqref="A1:XFD1048576"/>
    </sheetView>
  </sheetViews>
  <sheetFormatPr defaultRowHeight="12.75" x14ac:dyDescent="0.2"/>
  <cols>
    <col min="2" max="2" width="14.85546875" bestFit="1" customWidth="1"/>
    <col min="3" max="3" width="14" bestFit="1" customWidth="1"/>
    <col min="4" max="4" width="11.5703125" bestFit="1" customWidth="1"/>
  </cols>
  <sheetData>
    <row r="2" spans="2:9" x14ac:dyDescent="0.2">
      <c r="B2" t="s">
        <v>39</v>
      </c>
      <c r="C2" t="s">
        <v>28</v>
      </c>
    </row>
    <row r="4" spans="2:9" x14ac:dyDescent="0.2">
      <c r="B4" t="s">
        <v>2</v>
      </c>
      <c r="C4" t="s">
        <v>40</v>
      </c>
      <c r="D4" t="s">
        <v>118</v>
      </c>
      <c r="E4" t="s">
        <v>48</v>
      </c>
      <c r="F4" t="s">
        <v>51</v>
      </c>
      <c r="G4" t="s">
        <v>42</v>
      </c>
      <c r="H4" t="s">
        <v>41</v>
      </c>
      <c r="I4" t="s">
        <v>119</v>
      </c>
    </row>
    <row r="5" spans="2:9" x14ac:dyDescent="0.2">
      <c r="B5">
        <v>66030</v>
      </c>
      <c r="C5" s="41">
        <v>43377</v>
      </c>
      <c r="D5" t="s">
        <v>120</v>
      </c>
      <c r="E5">
        <v>8010</v>
      </c>
      <c r="F5">
        <v>103</v>
      </c>
      <c r="G5" t="s">
        <v>91</v>
      </c>
      <c r="H5">
        <v>120</v>
      </c>
      <c r="I5">
        <v>1440</v>
      </c>
    </row>
    <row r="6" spans="2:9" x14ac:dyDescent="0.2">
      <c r="B6">
        <v>66030</v>
      </c>
      <c r="C6" s="41">
        <v>43377</v>
      </c>
      <c r="D6" t="s">
        <v>121</v>
      </c>
      <c r="E6">
        <v>8010</v>
      </c>
      <c r="F6">
        <v>104</v>
      </c>
      <c r="H6">
        <v>150</v>
      </c>
      <c r="I6">
        <v>1800</v>
      </c>
    </row>
    <row r="7" spans="2:9" x14ac:dyDescent="0.2">
      <c r="B7">
        <v>66032</v>
      </c>
      <c r="C7" s="41">
        <v>43380</v>
      </c>
      <c r="D7" t="s">
        <v>122</v>
      </c>
      <c r="E7">
        <v>8010</v>
      </c>
      <c r="F7">
        <v>103</v>
      </c>
      <c r="H7">
        <v>170</v>
      </c>
      <c r="I7">
        <v>2040</v>
      </c>
    </row>
    <row r="8" spans="2:9" x14ac:dyDescent="0.2">
      <c r="B8">
        <v>66032</v>
      </c>
      <c r="C8" s="41">
        <v>43380</v>
      </c>
      <c r="D8" t="s">
        <v>123</v>
      </c>
      <c r="E8">
        <v>8010</v>
      </c>
      <c r="F8">
        <v>104</v>
      </c>
      <c r="H8">
        <v>140</v>
      </c>
      <c r="I8">
        <v>1680</v>
      </c>
    </row>
    <row r="9" spans="2:9" x14ac:dyDescent="0.2">
      <c r="B9">
        <v>66031</v>
      </c>
      <c r="C9" s="41">
        <v>43381</v>
      </c>
      <c r="D9" t="s">
        <v>124</v>
      </c>
      <c r="E9">
        <v>8020</v>
      </c>
      <c r="F9">
        <v>103</v>
      </c>
      <c r="G9">
        <v>1</v>
      </c>
      <c r="H9">
        <v>140</v>
      </c>
      <c r="I9">
        <v>1680</v>
      </c>
    </row>
    <row r="10" spans="2:9" x14ac:dyDescent="0.2">
      <c r="B10">
        <v>66031</v>
      </c>
      <c r="C10" s="41">
        <v>43381</v>
      </c>
      <c r="D10" t="s">
        <v>125</v>
      </c>
      <c r="E10">
        <v>8020</v>
      </c>
      <c r="F10">
        <v>104</v>
      </c>
      <c r="H10">
        <v>150</v>
      </c>
      <c r="I10">
        <v>1800</v>
      </c>
    </row>
    <row r="11" spans="2:9" x14ac:dyDescent="0.2">
      <c r="B11">
        <v>66031</v>
      </c>
      <c r="C11" s="41">
        <v>43381</v>
      </c>
      <c r="D11" t="s">
        <v>126</v>
      </c>
      <c r="E11">
        <v>8020</v>
      </c>
      <c r="F11">
        <v>105</v>
      </c>
      <c r="H11">
        <v>100</v>
      </c>
      <c r="I11">
        <v>1000</v>
      </c>
    </row>
    <row r="12" spans="2:9" x14ac:dyDescent="0.2">
      <c r="B12">
        <v>68112</v>
      </c>
      <c r="C12" s="41">
        <v>43384</v>
      </c>
      <c r="D12" t="s">
        <v>127</v>
      </c>
      <c r="E12">
        <v>8010</v>
      </c>
      <c r="F12">
        <v>104</v>
      </c>
      <c r="G12">
        <v>4</v>
      </c>
      <c r="H12">
        <v>180</v>
      </c>
      <c r="I12">
        <v>2160</v>
      </c>
    </row>
    <row r="13" spans="2:9" x14ac:dyDescent="0.2">
      <c r="B13">
        <v>68112</v>
      </c>
      <c r="C13" s="41">
        <v>43384</v>
      </c>
      <c r="D13" t="s">
        <v>122</v>
      </c>
      <c r="E13">
        <v>8010</v>
      </c>
      <c r="F13">
        <v>105</v>
      </c>
      <c r="H13">
        <v>120</v>
      </c>
      <c r="I13">
        <v>1200</v>
      </c>
    </row>
    <row r="14" spans="2:9" x14ac:dyDescent="0.2">
      <c r="B14">
        <v>68116</v>
      </c>
      <c r="C14" s="41">
        <v>43384</v>
      </c>
      <c r="D14" t="s">
        <v>128</v>
      </c>
      <c r="E14">
        <v>8020</v>
      </c>
      <c r="F14">
        <v>104</v>
      </c>
      <c r="H14">
        <v>150</v>
      </c>
      <c r="I14">
        <v>1800</v>
      </c>
    </row>
    <row r="15" spans="2:9" x14ac:dyDescent="0.2">
      <c r="B15">
        <v>68116</v>
      </c>
      <c r="C15" s="41">
        <v>43384</v>
      </c>
      <c r="D15" t="s">
        <v>127</v>
      </c>
      <c r="E15">
        <v>8020</v>
      </c>
      <c r="F15">
        <v>105</v>
      </c>
      <c r="H15">
        <v>190</v>
      </c>
      <c r="I15">
        <v>1900</v>
      </c>
    </row>
    <row r="16" spans="2:9" x14ac:dyDescent="0.2">
      <c r="B16">
        <v>68116</v>
      </c>
      <c r="C16" s="41">
        <v>43384</v>
      </c>
      <c r="D16" t="s">
        <v>124</v>
      </c>
      <c r="E16">
        <v>8020</v>
      </c>
      <c r="F16">
        <v>107</v>
      </c>
      <c r="G16">
        <v>2</v>
      </c>
      <c r="H16">
        <v>160</v>
      </c>
      <c r="I16">
        <v>800</v>
      </c>
    </row>
    <row r="17" spans="1:9" x14ac:dyDescent="0.2">
      <c r="B17">
        <v>68116</v>
      </c>
      <c r="C17" s="41">
        <v>43384</v>
      </c>
      <c r="D17" t="s">
        <v>124</v>
      </c>
      <c r="E17">
        <v>8010</v>
      </c>
      <c r="F17">
        <v>104</v>
      </c>
      <c r="H17">
        <v>160</v>
      </c>
      <c r="I17">
        <v>1920</v>
      </c>
    </row>
    <row r="18" spans="1:9" x14ac:dyDescent="0.2">
      <c r="B18">
        <v>68116</v>
      </c>
      <c r="C18" s="41">
        <v>43384</v>
      </c>
      <c r="D18" t="s">
        <v>120</v>
      </c>
      <c r="E18">
        <v>8010</v>
      </c>
      <c r="F18">
        <v>105</v>
      </c>
      <c r="H18">
        <v>190</v>
      </c>
      <c r="I18">
        <v>1900</v>
      </c>
    </row>
    <row r="19" spans="1:9" x14ac:dyDescent="0.2">
      <c r="B19">
        <v>65662</v>
      </c>
      <c r="C19" s="41">
        <v>43388</v>
      </c>
      <c r="D19" t="s">
        <v>123</v>
      </c>
      <c r="E19">
        <v>8020</v>
      </c>
      <c r="F19">
        <v>103</v>
      </c>
      <c r="H19">
        <v>120</v>
      </c>
      <c r="I19">
        <v>1440</v>
      </c>
    </row>
    <row r="20" spans="1:9" x14ac:dyDescent="0.2">
      <c r="B20">
        <v>65662</v>
      </c>
      <c r="C20" s="41">
        <v>43388</v>
      </c>
      <c r="D20" t="s">
        <v>126</v>
      </c>
      <c r="E20">
        <v>8020</v>
      </c>
      <c r="F20">
        <v>104</v>
      </c>
      <c r="H20">
        <v>110</v>
      </c>
      <c r="I20">
        <v>1320</v>
      </c>
    </row>
    <row r="21" spans="1:9" x14ac:dyDescent="0.2">
      <c r="B21">
        <v>65666</v>
      </c>
      <c r="C21" s="41">
        <v>43388</v>
      </c>
      <c r="D21" t="s">
        <v>123</v>
      </c>
      <c r="E21">
        <v>8010</v>
      </c>
      <c r="F21">
        <v>103</v>
      </c>
      <c r="H21">
        <v>120</v>
      </c>
      <c r="I21">
        <v>1440</v>
      </c>
    </row>
    <row r="22" spans="1:9" x14ac:dyDescent="0.2">
      <c r="B22">
        <v>65666</v>
      </c>
      <c r="C22" s="41">
        <v>43388</v>
      </c>
      <c r="D22" t="s">
        <v>122</v>
      </c>
      <c r="E22">
        <v>8010</v>
      </c>
      <c r="F22">
        <v>104</v>
      </c>
      <c r="H22">
        <v>140</v>
      </c>
      <c r="I22">
        <v>1680</v>
      </c>
    </row>
    <row r="23" spans="1:9" x14ac:dyDescent="0.2">
      <c r="B23">
        <v>65666</v>
      </c>
      <c r="C23" s="41">
        <v>43388</v>
      </c>
      <c r="D23" t="s">
        <v>121</v>
      </c>
      <c r="E23">
        <v>8010</v>
      </c>
      <c r="F23">
        <v>105</v>
      </c>
      <c r="H23">
        <v>160</v>
      </c>
      <c r="I23">
        <v>1600</v>
      </c>
    </row>
    <row r="24" spans="1:9" x14ac:dyDescent="0.2">
      <c r="B24">
        <v>65666</v>
      </c>
      <c r="C24" s="41">
        <v>43388</v>
      </c>
      <c r="D24" t="s">
        <v>128</v>
      </c>
      <c r="E24">
        <v>8020</v>
      </c>
      <c r="F24">
        <v>107</v>
      </c>
      <c r="H24">
        <v>120</v>
      </c>
      <c r="I24">
        <v>600</v>
      </c>
    </row>
    <row r="25" spans="1:9" x14ac:dyDescent="0.2">
      <c r="B25">
        <v>65666</v>
      </c>
      <c r="C25" s="41">
        <v>43388</v>
      </c>
      <c r="D25" t="s">
        <v>123</v>
      </c>
      <c r="E25">
        <v>8020</v>
      </c>
      <c r="F25">
        <v>103</v>
      </c>
      <c r="H25">
        <v>200</v>
      </c>
      <c r="I25">
        <v>2400</v>
      </c>
    </row>
    <row r="26" spans="1:9" x14ac:dyDescent="0.2">
      <c r="A26" s="41"/>
      <c r="B26">
        <v>66015</v>
      </c>
      <c r="C26" s="41">
        <v>43383</v>
      </c>
      <c r="D26" t="s">
        <v>127</v>
      </c>
      <c r="E26">
        <v>8010</v>
      </c>
      <c r="F26">
        <v>103</v>
      </c>
      <c r="H26">
        <v>140</v>
      </c>
      <c r="I26">
        <v>1680</v>
      </c>
    </row>
    <row r="27" spans="1:9" x14ac:dyDescent="0.2">
      <c r="A27" s="41"/>
      <c r="B27">
        <v>66015</v>
      </c>
      <c r="C27" s="41">
        <v>43383</v>
      </c>
      <c r="D27" t="s">
        <v>120</v>
      </c>
      <c r="E27">
        <v>8010</v>
      </c>
      <c r="F27">
        <v>104</v>
      </c>
      <c r="H27">
        <v>140</v>
      </c>
      <c r="I27">
        <v>1680</v>
      </c>
    </row>
    <row r="28" spans="1:9" x14ac:dyDescent="0.2">
      <c r="A28" s="41"/>
      <c r="B28">
        <v>66017</v>
      </c>
      <c r="C28" s="41">
        <v>43386</v>
      </c>
      <c r="D28" t="s">
        <v>120</v>
      </c>
      <c r="E28">
        <v>8010</v>
      </c>
      <c r="F28">
        <v>103</v>
      </c>
      <c r="H28">
        <v>140</v>
      </c>
      <c r="I28">
        <v>1680</v>
      </c>
    </row>
    <row r="29" spans="1:9" x14ac:dyDescent="0.2">
      <c r="A29" s="41"/>
      <c r="B29">
        <v>66017</v>
      </c>
      <c r="C29" s="41">
        <v>43386</v>
      </c>
      <c r="D29" t="s">
        <v>127</v>
      </c>
      <c r="E29">
        <v>8010</v>
      </c>
      <c r="F29">
        <v>104</v>
      </c>
      <c r="H29">
        <v>140</v>
      </c>
      <c r="I29">
        <v>1680</v>
      </c>
    </row>
    <row r="30" spans="1:9" x14ac:dyDescent="0.2">
      <c r="A30" s="41"/>
      <c r="B30">
        <v>66016</v>
      </c>
      <c r="C30" s="41">
        <v>43387</v>
      </c>
      <c r="D30" t="s">
        <v>129</v>
      </c>
      <c r="E30">
        <v>8020</v>
      </c>
      <c r="F30">
        <v>103</v>
      </c>
      <c r="H30">
        <v>120</v>
      </c>
      <c r="I30">
        <v>1440</v>
      </c>
    </row>
    <row r="31" spans="1:9" x14ac:dyDescent="0.2">
      <c r="A31" s="41"/>
      <c r="B31">
        <v>66016</v>
      </c>
      <c r="C31" s="41">
        <v>43387</v>
      </c>
      <c r="D31" t="s">
        <v>129</v>
      </c>
      <c r="E31">
        <v>8020</v>
      </c>
      <c r="F31">
        <v>104</v>
      </c>
      <c r="H31">
        <v>130</v>
      </c>
      <c r="I31">
        <v>1560</v>
      </c>
    </row>
    <row r="32" spans="1:9" x14ac:dyDescent="0.2">
      <c r="A32" s="41"/>
      <c r="B32">
        <v>66016</v>
      </c>
      <c r="C32" s="41">
        <v>43387</v>
      </c>
      <c r="D32" t="s">
        <v>124</v>
      </c>
      <c r="E32">
        <v>8020</v>
      </c>
      <c r="F32">
        <v>105</v>
      </c>
      <c r="H32">
        <v>120</v>
      </c>
      <c r="I32">
        <v>1200</v>
      </c>
    </row>
    <row r="33" spans="1:9" x14ac:dyDescent="0.2">
      <c r="A33" s="41"/>
      <c r="B33">
        <v>68097</v>
      </c>
      <c r="C33" s="41">
        <v>43390</v>
      </c>
      <c r="D33" t="s">
        <v>126</v>
      </c>
      <c r="E33">
        <v>8010</v>
      </c>
      <c r="F33">
        <v>104</v>
      </c>
      <c r="H33">
        <v>140</v>
      </c>
      <c r="I33">
        <v>1680</v>
      </c>
    </row>
    <row r="34" spans="1:9" x14ac:dyDescent="0.2">
      <c r="A34" s="41"/>
      <c r="B34">
        <v>68097</v>
      </c>
      <c r="C34" s="41">
        <v>43390</v>
      </c>
      <c r="D34" t="s">
        <v>124</v>
      </c>
      <c r="E34">
        <v>8010</v>
      </c>
      <c r="F34">
        <v>105</v>
      </c>
      <c r="H34">
        <v>130</v>
      </c>
      <c r="I34">
        <v>1300</v>
      </c>
    </row>
    <row r="35" spans="1:9" x14ac:dyDescent="0.2">
      <c r="A35" s="41"/>
      <c r="B35">
        <v>68099</v>
      </c>
      <c r="C35" s="41">
        <v>43390</v>
      </c>
      <c r="D35" t="s">
        <v>123</v>
      </c>
      <c r="E35">
        <v>8020</v>
      </c>
      <c r="F35">
        <v>104</v>
      </c>
      <c r="H35">
        <v>120</v>
      </c>
      <c r="I35">
        <v>1440</v>
      </c>
    </row>
    <row r="36" spans="1:9" x14ac:dyDescent="0.2">
      <c r="A36" s="41"/>
      <c r="B36">
        <v>68099</v>
      </c>
      <c r="C36" s="41">
        <v>43390</v>
      </c>
      <c r="D36" t="s">
        <v>124</v>
      </c>
      <c r="E36">
        <v>8020</v>
      </c>
      <c r="F36">
        <v>105</v>
      </c>
      <c r="G36">
        <v>2</v>
      </c>
      <c r="H36">
        <v>140</v>
      </c>
      <c r="I36">
        <v>1400</v>
      </c>
    </row>
    <row r="37" spans="1:9" x14ac:dyDescent="0.2">
      <c r="A37" s="41"/>
      <c r="B37">
        <v>68099</v>
      </c>
      <c r="C37" s="41">
        <v>43390</v>
      </c>
      <c r="D37" t="s">
        <v>126</v>
      </c>
      <c r="E37">
        <v>8020</v>
      </c>
      <c r="F37">
        <v>107</v>
      </c>
      <c r="H37">
        <v>170</v>
      </c>
      <c r="I37">
        <v>850</v>
      </c>
    </row>
    <row r="38" spans="1:9" x14ac:dyDescent="0.2">
      <c r="A38" s="41"/>
      <c r="B38">
        <v>68101</v>
      </c>
      <c r="C38" s="41">
        <v>43390</v>
      </c>
      <c r="D38" t="s">
        <v>129</v>
      </c>
      <c r="E38">
        <v>8010</v>
      </c>
      <c r="F38">
        <v>104</v>
      </c>
      <c r="H38">
        <v>190</v>
      </c>
      <c r="I38">
        <v>2280</v>
      </c>
    </row>
    <row r="39" spans="1:9" x14ac:dyDescent="0.2">
      <c r="A39" s="41"/>
      <c r="B39">
        <v>68101</v>
      </c>
      <c r="C39" s="41">
        <v>43390</v>
      </c>
      <c r="D39" t="s">
        <v>130</v>
      </c>
      <c r="E39">
        <v>8010</v>
      </c>
      <c r="F39">
        <v>105</v>
      </c>
      <c r="H39">
        <v>140</v>
      </c>
      <c r="I39">
        <v>1400</v>
      </c>
    </row>
    <row r="40" spans="1:9" x14ac:dyDescent="0.2">
      <c r="A40" s="41"/>
      <c r="B40">
        <v>65627</v>
      </c>
      <c r="C40" s="41">
        <v>43394</v>
      </c>
      <c r="D40" t="s">
        <v>123</v>
      </c>
      <c r="E40">
        <v>8020</v>
      </c>
      <c r="F40">
        <v>103</v>
      </c>
      <c r="H40">
        <v>140</v>
      </c>
      <c r="I40">
        <v>1680</v>
      </c>
    </row>
    <row r="41" spans="1:9" x14ac:dyDescent="0.2">
      <c r="A41" s="41"/>
      <c r="B41">
        <v>65627</v>
      </c>
      <c r="C41" s="41">
        <v>43394</v>
      </c>
      <c r="D41" t="s">
        <v>130</v>
      </c>
      <c r="E41">
        <v>8020</v>
      </c>
      <c r="F41">
        <v>104</v>
      </c>
      <c r="G41">
        <v>3</v>
      </c>
      <c r="H41">
        <v>160</v>
      </c>
      <c r="I41">
        <v>1920</v>
      </c>
    </row>
    <row r="42" spans="1:9" x14ac:dyDescent="0.2">
      <c r="A42" s="41"/>
      <c r="B42">
        <v>65629</v>
      </c>
      <c r="C42" s="41">
        <v>43394</v>
      </c>
      <c r="D42" t="s">
        <v>124</v>
      </c>
      <c r="E42">
        <v>8010</v>
      </c>
      <c r="F42">
        <v>103</v>
      </c>
      <c r="H42">
        <v>190</v>
      </c>
      <c r="I42">
        <v>2280</v>
      </c>
    </row>
    <row r="43" spans="1:9" x14ac:dyDescent="0.2">
      <c r="A43" s="41"/>
      <c r="B43">
        <v>65629</v>
      </c>
      <c r="C43" s="41">
        <v>43394</v>
      </c>
      <c r="D43" t="s">
        <v>130</v>
      </c>
      <c r="E43">
        <v>8010</v>
      </c>
      <c r="F43">
        <v>104</v>
      </c>
      <c r="H43">
        <v>130</v>
      </c>
      <c r="I43">
        <v>1560</v>
      </c>
    </row>
    <row r="44" spans="1:9" x14ac:dyDescent="0.2">
      <c r="A44" s="41"/>
      <c r="B44">
        <v>65629</v>
      </c>
      <c r="C44" s="41">
        <v>43394</v>
      </c>
      <c r="D44" t="s">
        <v>126</v>
      </c>
      <c r="E44">
        <v>8010</v>
      </c>
      <c r="F44">
        <v>105</v>
      </c>
      <c r="H44">
        <v>140</v>
      </c>
      <c r="I44">
        <v>1400</v>
      </c>
    </row>
    <row r="45" spans="1:9" x14ac:dyDescent="0.2">
      <c r="A45" s="41"/>
      <c r="B45">
        <v>65631</v>
      </c>
      <c r="C45" s="41">
        <v>43394</v>
      </c>
      <c r="D45" t="s">
        <v>120</v>
      </c>
      <c r="E45">
        <v>8020</v>
      </c>
      <c r="F45">
        <v>107</v>
      </c>
      <c r="H45">
        <v>190</v>
      </c>
      <c r="I45">
        <v>950</v>
      </c>
    </row>
    <row r="46" spans="1:9" x14ac:dyDescent="0.2">
      <c r="A46" s="41"/>
      <c r="B46">
        <v>65631</v>
      </c>
      <c r="C46" s="41">
        <v>43394</v>
      </c>
      <c r="D46" t="s">
        <v>125</v>
      </c>
      <c r="E46">
        <v>8020</v>
      </c>
      <c r="F46">
        <v>103</v>
      </c>
      <c r="H46">
        <v>120</v>
      </c>
      <c r="I46">
        <v>1440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P55"/>
  <sheetViews>
    <sheetView workbookViewId="0">
      <selection activeCell="J7" sqref="J7"/>
    </sheetView>
  </sheetViews>
  <sheetFormatPr defaultColWidth="0" defaultRowHeight="12.75" zeroHeight="1" x14ac:dyDescent="0.2"/>
  <cols>
    <col min="1" max="1" width="1.42578125" style="16" customWidth="1"/>
    <col min="2" max="2" width="3.140625" style="16" customWidth="1"/>
    <col min="3" max="13" width="9.140625" style="16" customWidth="1"/>
    <col min="14" max="14" width="12.5703125" style="16" customWidth="1"/>
    <col min="15" max="15" width="2.28515625" style="16" customWidth="1"/>
    <col min="16" max="16" width="2.5703125" style="16" customWidth="1"/>
    <col min="17" max="16384" width="9" hidden="1"/>
  </cols>
  <sheetData>
    <row r="1" spans="1:16" x14ac:dyDescent="0.2">
      <c r="A1" s="11"/>
      <c r="B1" s="11"/>
      <c r="C1" s="11"/>
      <c r="D1" s="11"/>
      <c r="E1" s="11"/>
      <c r="F1" s="11"/>
      <c r="G1" s="11"/>
      <c r="H1" s="11"/>
      <c r="I1" s="11"/>
      <c r="J1" s="11"/>
      <c r="K1" s="11"/>
      <c r="L1" s="11"/>
      <c r="M1" s="11"/>
      <c r="N1" s="11"/>
      <c r="O1" s="11"/>
      <c r="P1" s="11"/>
    </row>
    <row r="2" spans="1:16" x14ac:dyDescent="0.2">
      <c r="A2" s="11"/>
      <c r="B2" s="11"/>
      <c r="C2" s="11"/>
      <c r="D2" s="11"/>
      <c r="E2" s="11"/>
      <c r="F2" s="11"/>
      <c r="G2" s="11"/>
      <c r="H2" s="11"/>
      <c r="I2" s="11"/>
      <c r="J2" s="11"/>
      <c r="K2" s="11"/>
      <c r="L2" s="11"/>
      <c r="M2" s="11"/>
      <c r="N2" s="11"/>
      <c r="O2" s="11"/>
      <c r="P2" s="11"/>
    </row>
    <row r="3" spans="1:16" x14ac:dyDescent="0.2">
      <c r="A3" s="11"/>
      <c r="B3" s="11"/>
      <c r="C3" s="11"/>
      <c r="D3" s="11"/>
      <c r="E3" s="11"/>
      <c r="F3" s="11"/>
      <c r="G3" s="11"/>
      <c r="H3" s="11"/>
      <c r="I3" s="11"/>
      <c r="J3" s="11"/>
      <c r="K3" s="11"/>
      <c r="L3" s="11"/>
      <c r="M3" s="11"/>
      <c r="N3" s="11"/>
      <c r="O3" s="11"/>
      <c r="P3" s="11"/>
    </row>
    <row r="4" spans="1:16" x14ac:dyDescent="0.2">
      <c r="A4" s="11"/>
      <c r="B4" s="12"/>
      <c r="C4" s="12"/>
      <c r="D4" s="12"/>
      <c r="E4" s="12"/>
      <c r="F4" s="12"/>
      <c r="G4" s="12"/>
      <c r="H4" s="12"/>
      <c r="I4" s="12"/>
      <c r="J4" s="12"/>
      <c r="K4" s="12"/>
      <c r="L4" s="12"/>
      <c r="M4" s="12"/>
      <c r="N4" s="12"/>
      <c r="O4" s="11"/>
      <c r="P4" s="11"/>
    </row>
    <row r="5" spans="1:16" ht="18" x14ac:dyDescent="0.25">
      <c r="A5" s="11"/>
      <c r="B5" s="13"/>
      <c r="C5" s="14" t="s">
        <v>70</v>
      </c>
      <c r="D5" s="15"/>
      <c r="E5" s="15"/>
      <c r="F5" s="15"/>
      <c r="G5" s="15"/>
      <c r="H5" s="15"/>
      <c r="I5" s="15"/>
      <c r="J5" s="15"/>
      <c r="K5" s="15"/>
      <c r="L5" s="15"/>
      <c r="M5" s="15"/>
      <c r="N5" s="15"/>
      <c r="O5" s="11"/>
      <c r="P5" s="11"/>
    </row>
    <row r="6" spans="1:16" x14ac:dyDescent="0.2">
      <c r="A6" s="11"/>
      <c r="B6" s="15"/>
      <c r="C6" s="15"/>
      <c r="D6" s="15"/>
      <c r="E6" s="15"/>
      <c r="F6" s="15"/>
      <c r="G6" s="15"/>
      <c r="H6" s="15"/>
      <c r="I6" s="15"/>
      <c r="J6" s="15"/>
      <c r="K6" s="15"/>
      <c r="L6" s="15"/>
      <c r="M6" s="15"/>
      <c r="N6" s="15"/>
      <c r="O6" s="11"/>
      <c r="P6" s="11"/>
    </row>
    <row r="7" spans="1:16" x14ac:dyDescent="0.2">
      <c r="A7" s="11"/>
      <c r="B7" s="15"/>
      <c r="C7" s="19" t="s">
        <v>76</v>
      </c>
      <c r="D7" s="15"/>
      <c r="E7" s="15"/>
      <c r="F7" s="15"/>
      <c r="G7" s="15"/>
      <c r="H7" s="15"/>
      <c r="I7" s="15"/>
      <c r="J7" s="15"/>
      <c r="K7" s="15"/>
      <c r="L7" s="15"/>
      <c r="M7" s="15"/>
      <c r="N7" s="15"/>
      <c r="O7" s="11"/>
      <c r="P7" s="11"/>
    </row>
    <row r="8" spans="1:16" x14ac:dyDescent="0.2">
      <c r="A8" s="11"/>
      <c r="B8" s="15"/>
      <c r="C8" s="19" t="s">
        <v>77</v>
      </c>
      <c r="D8" s="15"/>
      <c r="E8" s="15"/>
      <c r="F8" s="15"/>
      <c r="G8" s="15"/>
      <c r="H8" s="15"/>
      <c r="I8" s="15"/>
      <c r="J8" s="15"/>
      <c r="K8" s="15"/>
      <c r="L8" s="15"/>
      <c r="M8" s="15"/>
      <c r="N8" s="15"/>
      <c r="O8" s="11"/>
      <c r="P8" s="11"/>
    </row>
    <row r="9" spans="1:16" x14ac:dyDescent="0.2">
      <c r="A9" s="11"/>
      <c r="B9" s="15"/>
      <c r="C9" s="19" t="s">
        <v>78</v>
      </c>
      <c r="D9" s="15"/>
      <c r="E9" s="15"/>
      <c r="F9" s="15"/>
      <c r="G9" s="15"/>
      <c r="H9" s="15"/>
      <c r="I9" s="15"/>
      <c r="J9" s="15"/>
      <c r="K9" s="15"/>
      <c r="L9" s="15"/>
      <c r="M9" s="15"/>
      <c r="N9" s="15"/>
      <c r="O9" s="11"/>
      <c r="P9" s="11"/>
    </row>
    <row r="10" spans="1:16" x14ac:dyDescent="0.2">
      <c r="A10" s="11"/>
      <c r="B10" s="15"/>
      <c r="C10" s="19" t="s">
        <v>83</v>
      </c>
      <c r="D10" s="15"/>
      <c r="E10" s="15"/>
      <c r="F10" s="15"/>
      <c r="G10" s="15"/>
      <c r="H10" s="15"/>
      <c r="I10" s="15"/>
      <c r="J10" s="15"/>
      <c r="K10" s="15"/>
      <c r="L10" s="15"/>
      <c r="M10" s="15"/>
      <c r="N10" s="15"/>
      <c r="O10" s="11"/>
      <c r="P10" s="11"/>
    </row>
    <row r="11" spans="1:16" x14ac:dyDescent="0.2">
      <c r="A11" s="11"/>
      <c r="B11" s="15"/>
      <c r="C11" s="22" t="s">
        <v>61</v>
      </c>
      <c r="D11" s="15"/>
      <c r="E11" s="15"/>
      <c r="F11" s="15"/>
      <c r="G11" s="15"/>
      <c r="H11" s="15"/>
      <c r="I11" s="15"/>
      <c r="J11" s="15"/>
      <c r="K11" s="15"/>
      <c r="L11" s="15"/>
      <c r="M11" s="15"/>
      <c r="N11" s="15"/>
      <c r="O11" s="11"/>
      <c r="P11" s="11"/>
    </row>
    <row r="12" spans="1:16" x14ac:dyDescent="0.2">
      <c r="A12" s="11"/>
      <c r="B12" s="15"/>
      <c r="C12" s="22" t="s">
        <v>81</v>
      </c>
      <c r="D12" s="15"/>
      <c r="E12" s="15"/>
      <c r="F12" s="15"/>
      <c r="G12" s="15"/>
      <c r="H12" s="15"/>
      <c r="I12" s="15"/>
      <c r="J12" s="15"/>
      <c r="K12" s="15"/>
      <c r="L12" s="15"/>
      <c r="M12" s="15"/>
      <c r="N12" s="15"/>
      <c r="O12" s="11"/>
      <c r="P12" s="11"/>
    </row>
    <row r="13" spans="1:16" x14ac:dyDescent="0.2">
      <c r="A13" s="11"/>
      <c r="B13" s="15" t="s">
        <v>90</v>
      </c>
      <c r="C13" s="19" t="s">
        <v>82</v>
      </c>
      <c r="D13" s="15"/>
      <c r="E13" s="15"/>
      <c r="F13" s="15"/>
      <c r="G13" s="15"/>
      <c r="H13" s="15"/>
      <c r="I13" s="15"/>
      <c r="J13" s="15"/>
      <c r="K13" s="15"/>
      <c r="L13" s="15"/>
      <c r="M13" s="15"/>
      <c r="N13" s="15"/>
      <c r="O13" s="11"/>
      <c r="P13" s="11"/>
    </row>
    <row r="14" spans="1:16" x14ac:dyDescent="0.2">
      <c r="A14" s="11"/>
      <c r="B14" s="15"/>
      <c r="C14" s="15"/>
      <c r="D14" s="15"/>
      <c r="E14" s="15"/>
      <c r="F14" s="15"/>
      <c r="G14" s="15"/>
      <c r="H14" s="15"/>
      <c r="I14" s="15"/>
      <c r="J14" s="15"/>
      <c r="K14" s="15"/>
      <c r="L14" s="15"/>
      <c r="M14" s="15"/>
      <c r="N14" s="15"/>
      <c r="O14" s="11"/>
      <c r="P14" s="11"/>
    </row>
    <row r="15" spans="1:16" ht="18" x14ac:dyDescent="0.25">
      <c r="A15" s="11"/>
      <c r="B15" s="15"/>
      <c r="C15" s="14" t="s">
        <v>56</v>
      </c>
      <c r="D15" s="15"/>
      <c r="E15" s="15"/>
      <c r="F15" s="15"/>
      <c r="G15" s="15"/>
      <c r="H15" s="15"/>
      <c r="I15" s="15"/>
      <c r="J15" s="15"/>
      <c r="K15" s="15"/>
      <c r="L15" s="15"/>
      <c r="M15" s="15"/>
      <c r="N15" s="15"/>
      <c r="O15" s="11"/>
      <c r="P15" s="11"/>
    </row>
    <row r="16" spans="1:16" x14ac:dyDescent="0.2">
      <c r="A16" s="11"/>
      <c r="B16" s="15"/>
      <c r="C16" s="15"/>
      <c r="D16" s="15"/>
      <c r="E16" s="15"/>
      <c r="F16" s="15"/>
      <c r="G16" s="15"/>
      <c r="H16" s="15"/>
      <c r="I16" s="15"/>
      <c r="J16" s="15"/>
      <c r="K16" s="15"/>
      <c r="L16" s="15"/>
      <c r="M16" s="15"/>
      <c r="N16" s="15"/>
      <c r="O16" s="11"/>
      <c r="P16" s="11"/>
    </row>
    <row r="17" spans="1:16" x14ac:dyDescent="0.2">
      <c r="A17" s="11"/>
      <c r="B17" s="15"/>
      <c r="C17" s="15" t="s">
        <v>79</v>
      </c>
      <c r="D17" s="15"/>
      <c r="E17" s="15"/>
      <c r="F17" s="15"/>
      <c r="G17" s="15"/>
      <c r="H17" s="15"/>
      <c r="I17" s="15"/>
      <c r="J17" s="15"/>
      <c r="K17" s="15"/>
      <c r="L17" s="15"/>
      <c r="M17" s="15"/>
      <c r="N17" s="15"/>
      <c r="O17" s="11"/>
      <c r="P17" s="11"/>
    </row>
    <row r="18" spans="1:16" x14ac:dyDescent="0.2">
      <c r="A18" s="11"/>
      <c r="B18" s="17"/>
      <c r="C18" s="15" t="s">
        <v>62</v>
      </c>
      <c r="D18" s="17"/>
      <c r="E18" s="17"/>
      <c r="F18" s="17"/>
      <c r="G18" s="15"/>
      <c r="H18" s="15"/>
      <c r="I18" s="15"/>
      <c r="J18" s="15"/>
      <c r="K18" s="15"/>
      <c r="L18" s="15"/>
      <c r="M18" s="15"/>
      <c r="N18" s="15"/>
      <c r="O18" s="11"/>
      <c r="P18" s="11"/>
    </row>
    <row r="19" spans="1:16" x14ac:dyDescent="0.2">
      <c r="A19" s="11"/>
      <c r="B19" s="12"/>
      <c r="C19" s="15" t="s">
        <v>63</v>
      </c>
      <c r="D19" s="18"/>
      <c r="E19" s="12"/>
      <c r="F19" s="12"/>
      <c r="G19" s="15"/>
      <c r="H19" s="15"/>
      <c r="I19" s="15"/>
      <c r="J19" s="15"/>
      <c r="K19" s="15"/>
      <c r="L19" s="15"/>
      <c r="M19" s="15"/>
      <c r="N19" s="15"/>
      <c r="O19" s="11"/>
      <c r="P19" s="11"/>
    </row>
    <row r="20" spans="1:16" x14ac:dyDescent="0.2">
      <c r="A20" s="11"/>
      <c r="B20" s="15"/>
      <c r="C20" s="15" t="s">
        <v>67</v>
      </c>
      <c r="D20" s="19"/>
      <c r="E20" s="15"/>
      <c r="F20" s="15"/>
      <c r="G20" s="15"/>
      <c r="H20" s="15"/>
      <c r="I20" s="15"/>
      <c r="J20" s="15"/>
      <c r="K20" s="15"/>
      <c r="L20" s="15"/>
      <c r="M20" s="15"/>
      <c r="N20" s="15"/>
      <c r="O20" s="11"/>
      <c r="P20" s="11"/>
    </row>
    <row r="21" spans="1:16" x14ac:dyDescent="0.2">
      <c r="A21" s="11"/>
      <c r="B21" s="15"/>
      <c r="C21" s="15" t="s">
        <v>66</v>
      </c>
      <c r="D21" s="15"/>
      <c r="E21" s="15"/>
      <c r="F21" s="15"/>
      <c r="G21" s="15"/>
      <c r="H21" s="15"/>
      <c r="I21" s="15"/>
      <c r="J21" s="15"/>
      <c r="K21" s="15"/>
      <c r="L21" s="15"/>
      <c r="M21" s="15"/>
      <c r="N21" s="15"/>
      <c r="O21" s="11"/>
      <c r="P21" s="11"/>
    </row>
    <row r="22" spans="1:16" x14ac:dyDescent="0.2">
      <c r="A22" s="11"/>
      <c r="B22" s="15"/>
      <c r="C22" s="15" t="s">
        <v>64</v>
      </c>
      <c r="D22" s="15"/>
      <c r="E22" s="15"/>
      <c r="F22" s="15"/>
      <c r="G22" s="15"/>
      <c r="H22" s="15"/>
      <c r="I22" s="15"/>
      <c r="J22" s="15"/>
      <c r="K22" s="15"/>
      <c r="L22" s="15"/>
      <c r="M22" s="15"/>
      <c r="N22" s="15"/>
      <c r="O22" s="11"/>
      <c r="P22" s="11"/>
    </row>
    <row r="23" spans="1:16" x14ac:dyDescent="0.2">
      <c r="A23" s="11"/>
      <c r="B23" s="15"/>
      <c r="C23" s="15" t="s">
        <v>65</v>
      </c>
      <c r="D23" s="15"/>
      <c r="E23" s="15"/>
      <c r="F23" s="15"/>
      <c r="G23" s="15"/>
      <c r="H23" s="15"/>
      <c r="I23" s="15"/>
      <c r="J23" s="15"/>
      <c r="K23" s="15"/>
      <c r="L23" s="15"/>
      <c r="M23" s="15"/>
      <c r="N23" s="15"/>
      <c r="O23" s="11"/>
      <c r="P23" s="11"/>
    </row>
    <row r="24" spans="1:16" x14ac:dyDescent="0.2">
      <c r="A24" s="11"/>
      <c r="B24" s="15"/>
      <c r="C24" s="15" t="s">
        <v>68</v>
      </c>
      <c r="D24" s="19"/>
      <c r="E24" s="15"/>
      <c r="F24" s="15"/>
      <c r="G24" s="15"/>
      <c r="H24" s="15"/>
      <c r="I24" s="15"/>
      <c r="J24" s="15"/>
      <c r="K24" s="15"/>
      <c r="L24" s="15"/>
      <c r="M24" s="15"/>
      <c r="N24" s="15"/>
      <c r="O24" s="11"/>
      <c r="P24" s="11"/>
    </row>
    <row r="25" spans="1:16" x14ac:dyDescent="0.2">
      <c r="A25" s="11"/>
      <c r="B25" s="15"/>
      <c r="C25" s="21" t="s">
        <v>69</v>
      </c>
      <c r="D25" s="19"/>
      <c r="E25" s="15"/>
      <c r="F25" s="15"/>
      <c r="G25" s="15"/>
      <c r="H25" s="15"/>
      <c r="I25" s="15"/>
      <c r="J25" s="15"/>
      <c r="K25" s="15"/>
      <c r="L25" s="15"/>
      <c r="M25" s="15"/>
      <c r="N25" s="15"/>
      <c r="O25" s="11"/>
      <c r="P25" s="11"/>
    </row>
    <row r="26" spans="1:16" x14ac:dyDescent="0.2">
      <c r="A26" s="11"/>
      <c r="B26" s="15"/>
      <c r="C26" s="15"/>
      <c r="D26" s="15"/>
      <c r="E26" s="15"/>
      <c r="F26" s="15"/>
      <c r="G26" s="15"/>
      <c r="H26" s="15"/>
      <c r="I26" s="15"/>
      <c r="J26" s="15"/>
      <c r="K26" s="15"/>
      <c r="L26" s="15"/>
      <c r="M26" s="15"/>
      <c r="N26" s="15"/>
      <c r="O26" s="11"/>
      <c r="P26" s="11"/>
    </row>
    <row r="27" spans="1:16" x14ac:dyDescent="0.2">
      <c r="A27" s="11"/>
      <c r="B27" s="15"/>
      <c r="C27" s="15"/>
      <c r="D27" s="15"/>
      <c r="E27" s="15"/>
      <c r="F27" s="15"/>
      <c r="G27" s="15"/>
      <c r="H27" s="15"/>
      <c r="I27" s="15"/>
      <c r="J27" s="15"/>
      <c r="K27" s="15"/>
      <c r="L27" s="15"/>
      <c r="M27" s="15"/>
      <c r="N27" s="15"/>
      <c r="O27" s="11"/>
      <c r="P27" s="11"/>
    </row>
    <row r="28" spans="1:16" ht="18" x14ac:dyDescent="0.25">
      <c r="A28" s="11"/>
      <c r="B28" s="15"/>
      <c r="C28" s="14" t="s">
        <v>55</v>
      </c>
      <c r="D28" s="15"/>
      <c r="E28" s="15"/>
      <c r="F28" s="15"/>
      <c r="G28" s="15"/>
      <c r="H28" s="15"/>
      <c r="I28" s="15"/>
      <c r="J28" s="15"/>
      <c r="K28" s="15"/>
      <c r="L28" s="15"/>
      <c r="M28" s="15"/>
      <c r="N28" s="15"/>
      <c r="O28" s="11"/>
      <c r="P28" s="11"/>
    </row>
    <row r="29" spans="1:16" x14ac:dyDescent="0.2">
      <c r="A29" s="11"/>
      <c r="B29" s="15"/>
      <c r="C29" s="15"/>
      <c r="D29" s="15"/>
      <c r="E29" s="15"/>
      <c r="F29" s="15"/>
      <c r="G29" s="15"/>
      <c r="H29" s="15"/>
      <c r="I29" s="15"/>
      <c r="J29" s="15"/>
      <c r="K29" s="15"/>
      <c r="L29" s="15"/>
      <c r="M29" s="15"/>
      <c r="N29" s="15"/>
      <c r="O29" s="11"/>
      <c r="P29" s="11"/>
    </row>
    <row r="30" spans="1:16" x14ac:dyDescent="0.2">
      <c r="A30" s="11"/>
      <c r="B30" s="15"/>
      <c r="C30" s="15" t="s">
        <v>71</v>
      </c>
      <c r="D30" s="15"/>
      <c r="E30" s="15"/>
      <c r="F30" s="15"/>
      <c r="G30" s="15"/>
      <c r="H30" s="15"/>
      <c r="I30" s="15"/>
      <c r="J30" s="15"/>
      <c r="K30" s="15"/>
      <c r="L30" s="15"/>
      <c r="M30" s="15"/>
      <c r="N30" s="15"/>
      <c r="O30" s="11"/>
      <c r="P30" s="11"/>
    </row>
    <row r="31" spans="1:16" x14ac:dyDescent="0.2">
      <c r="A31" s="11"/>
      <c r="B31" s="15"/>
      <c r="C31" s="15" t="s">
        <v>88</v>
      </c>
      <c r="D31" s="15"/>
      <c r="E31" s="15"/>
      <c r="F31" s="15"/>
      <c r="G31" s="15"/>
      <c r="H31" s="15"/>
      <c r="I31" s="15"/>
      <c r="J31" s="15"/>
      <c r="K31" s="15"/>
      <c r="L31" s="15"/>
      <c r="M31" s="15"/>
      <c r="N31" s="15"/>
      <c r="O31" s="11"/>
      <c r="P31" s="11"/>
    </row>
    <row r="32" spans="1:16" x14ac:dyDescent="0.2">
      <c r="A32" s="11"/>
      <c r="B32" s="15"/>
      <c r="C32" s="16" t="s">
        <v>89</v>
      </c>
      <c r="D32" s="15"/>
      <c r="E32" s="15"/>
      <c r="F32" s="15"/>
      <c r="G32" s="15"/>
      <c r="H32" s="15"/>
      <c r="I32" s="15"/>
      <c r="J32" s="15"/>
      <c r="K32" s="15"/>
      <c r="L32" s="15"/>
      <c r="M32" s="15"/>
      <c r="N32" s="15"/>
      <c r="O32" s="11"/>
      <c r="P32" s="11"/>
    </row>
    <row r="33" spans="1:16" x14ac:dyDescent="0.2">
      <c r="A33" s="11"/>
      <c r="B33" s="15"/>
      <c r="C33" s="15" t="s">
        <v>73</v>
      </c>
      <c r="D33" s="15"/>
      <c r="E33" s="15"/>
      <c r="F33" s="15"/>
      <c r="G33" s="15"/>
      <c r="H33" s="15"/>
      <c r="I33" s="15"/>
      <c r="J33" s="15"/>
      <c r="K33" s="15"/>
      <c r="L33" s="15"/>
      <c r="M33" s="15"/>
      <c r="N33" s="15"/>
      <c r="O33" s="11"/>
      <c r="P33" s="11"/>
    </row>
    <row r="34" spans="1:16" x14ac:dyDescent="0.2">
      <c r="A34" s="11"/>
      <c r="B34" s="15"/>
      <c r="D34" s="15"/>
      <c r="E34" s="15"/>
      <c r="F34" s="15"/>
      <c r="G34" s="15"/>
      <c r="H34" s="15"/>
      <c r="I34" s="15"/>
      <c r="J34" s="15"/>
      <c r="K34" s="15"/>
      <c r="L34" s="15"/>
      <c r="M34" s="15"/>
      <c r="N34" s="15"/>
      <c r="O34" s="11"/>
      <c r="P34" s="11"/>
    </row>
    <row r="35" spans="1:16" x14ac:dyDescent="0.2">
      <c r="A35" s="11"/>
      <c r="B35" s="15"/>
      <c r="C35" s="17"/>
      <c r="D35" s="15"/>
      <c r="E35" s="15"/>
      <c r="F35" s="15"/>
      <c r="G35" s="15"/>
      <c r="H35" s="15"/>
      <c r="I35" s="15"/>
      <c r="J35" s="15"/>
      <c r="K35" s="15"/>
      <c r="L35" s="15"/>
      <c r="M35" s="15"/>
      <c r="N35" s="15"/>
      <c r="O35" s="11"/>
      <c r="P35" s="11"/>
    </row>
    <row r="36" spans="1:16" x14ac:dyDescent="0.2">
      <c r="A36" s="11"/>
      <c r="B36" s="15"/>
      <c r="C36" s="23" t="s">
        <v>72</v>
      </c>
      <c r="D36" s="19"/>
      <c r="E36" s="15"/>
      <c r="F36" s="15"/>
      <c r="G36" s="15"/>
      <c r="H36" s="15"/>
      <c r="I36" s="15"/>
      <c r="J36" s="15"/>
      <c r="K36" s="15"/>
      <c r="L36" s="15"/>
      <c r="M36" s="15"/>
      <c r="N36" s="15"/>
      <c r="O36" s="11"/>
      <c r="P36" s="11"/>
    </row>
    <row r="37" spans="1:16" x14ac:dyDescent="0.2">
      <c r="A37" s="11"/>
      <c r="B37" s="15"/>
      <c r="C37" s="15"/>
      <c r="D37" s="19"/>
      <c r="E37" s="15"/>
      <c r="F37" s="15"/>
      <c r="G37" s="15"/>
      <c r="H37" s="15"/>
      <c r="I37" s="15"/>
      <c r="J37" s="15"/>
      <c r="K37" s="15"/>
      <c r="L37" s="15"/>
      <c r="M37" s="15"/>
      <c r="N37" s="15"/>
      <c r="O37" s="11"/>
      <c r="P37" s="11"/>
    </row>
    <row r="38" spans="1:16" ht="14.25" x14ac:dyDescent="0.2">
      <c r="A38" s="11"/>
      <c r="B38" s="15"/>
      <c r="C38" s="25" t="s">
        <v>87</v>
      </c>
      <c r="D38" s="15"/>
      <c r="E38" s="15"/>
      <c r="F38" s="15"/>
      <c r="G38" s="15"/>
      <c r="H38" s="15"/>
      <c r="I38" s="15"/>
      <c r="J38" s="15"/>
      <c r="K38" s="15"/>
      <c r="L38" s="15"/>
      <c r="M38" s="15"/>
      <c r="N38" s="15"/>
      <c r="O38" s="11"/>
      <c r="P38" s="11"/>
    </row>
    <row r="39" spans="1:16" ht="14.25" x14ac:dyDescent="0.2">
      <c r="A39" s="11"/>
      <c r="B39" s="15"/>
      <c r="C39" s="24" t="s">
        <v>75</v>
      </c>
      <c r="D39" s="15"/>
      <c r="E39" s="15"/>
      <c r="F39" s="15"/>
      <c r="G39" s="15"/>
      <c r="H39" s="15"/>
      <c r="I39" s="15"/>
      <c r="J39" s="15"/>
      <c r="K39" s="15"/>
      <c r="L39" s="15"/>
      <c r="M39" s="15"/>
      <c r="N39" s="15"/>
      <c r="O39" s="11"/>
      <c r="P39" s="11"/>
    </row>
    <row r="40" spans="1:16" ht="14.25" x14ac:dyDescent="0.2">
      <c r="A40" s="11"/>
      <c r="B40" s="15"/>
      <c r="C40" s="24" t="s">
        <v>74</v>
      </c>
      <c r="D40" s="15"/>
      <c r="E40" s="15"/>
      <c r="F40" s="15"/>
      <c r="G40" s="15"/>
      <c r="H40" s="15"/>
      <c r="I40" s="15"/>
      <c r="J40" s="15"/>
      <c r="K40" s="15"/>
      <c r="L40" s="15"/>
      <c r="M40" s="15"/>
      <c r="N40" s="15"/>
      <c r="O40" s="11"/>
      <c r="P40" s="11"/>
    </row>
    <row r="41" spans="1:16" x14ac:dyDescent="0.2">
      <c r="A41" s="11"/>
      <c r="B41" s="15"/>
      <c r="C41" s="15"/>
      <c r="D41" s="19"/>
      <c r="E41" s="15"/>
      <c r="F41" s="15"/>
      <c r="G41" s="15"/>
      <c r="H41" s="15"/>
      <c r="I41" s="15"/>
      <c r="J41" s="15"/>
      <c r="K41" s="15"/>
      <c r="L41" s="15"/>
      <c r="M41" s="15"/>
      <c r="N41" s="15"/>
      <c r="O41" s="11"/>
      <c r="P41" s="11"/>
    </row>
    <row r="42" spans="1:16" x14ac:dyDescent="0.2">
      <c r="A42" s="11"/>
      <c r="B42" s="15"/>
      <c r="C42" s="15"/>
      <c r="D42" s="15"/>
      <c r="E42" s="15"/>
      <c r="F42" s="15"/>
      <c r="G42" s="15"/>
      <c r="H42" s="15"/>
      <c r="I42" s="15"/>
      <c r="J42" s="15"/>
      <c r="K42" s="15"/>
      <c r="L42" s="15"/>
      <c r="M42" s="15"/>
      <c r="N42" s="15"/>
      <c r="O42" s="11"/>
      <c r="P42" s="11"/>
    </row>
    <row r="43" spans="1:16" x14ac:dyDescent="0.2">
      <c r="A43" s="11"/>
      <c r="B43" s="15"/>
      <c r="C43" s="15"/>
      <c r="D43" s="15"/>
      <c r="E43" s="15"/>
      <c r="F43" s="15"/>
      <c r="G43" s="15"/>
      <c r="H43" s="15"/>
      <c r="I43" s="15"/>
      <c r="J43" s="15"/>
      <c r="K43" s="15"/>
      <c r="L43" s="15"/>
      <c r="M43" s="15"/>
      <c r="N43" s="15"/>
      <c r="O43" s="11"/>
      <c r="P43" s="11"/>
    </row>
    <row r="44" spans="1:16" ht="18" x14ac:dyDescent="0.25">
      <c r="A44" s="11"/>
      <c r="B44" s="15"/>
      <c r="C44" s="14"/>
      <c r="D44" s="15"/>
      <c r="E44" s="15"/>
      <c r="F44" s="15"/>
      <c r="G44" s="15"/>
      <c r="H44" s="15"/>
      <c r="I44" s="15"/>
      <c r="J44" s="15"/>
      <c r="K44" s="15"/>
      <c r="L44" s="15"/>
      <c r="M44" s="15"/>
      <c r="N44" s="15"/>
      <c r="O44" s="11"/>
      <c r="P44" s="11"/>
    </row>
    <row r="45" spans="1:16" x14ac:dyDescent="0.2">
      <c r="A45" s="11"/>
      <c r="B45" s="15"/>
      <c r="C45" s="15"/>
      <c r="D45" s="15"/>
      <c r="E45" s="15"/>
      <c r="F45" s="15"/>
      <c r="G45" s="15"/>
      <c r="H45" s="15"/>
      <c r="I45" s="15"/>
      <c r="J45" s="15"/>
      <c r="K45" s="15"/>
      <c r="L45" s="15"/>
      <c r="M45" s="15"/>
      <c r="N45" s="15"/>
      <c r="O45" s="11"/>
      <c r="P45" s="11"/>
    </row>
    <row r="46" spans="1:16" x14ac:dyDescent="0.2">
      <c r="A46" s="11"/>
      <c r="B46" s="15"/>
      <c r="C46" s="15"/>
      <c r="D46" s="15"/>
      <c r="E46" s="15"/>
      <c r="F46" s="15"/>
      <c r="G46" s="15"/>
      <c r="H46" s="15"/>
      <c r="I46" s="15"/>
      <c r="J46" s="15"/>
      <c r="K46" s="15"/>
      <c r="L46" s="15"/>
      <c r="M46" s="15"/>
      <c r="N46" s="15"/>
      <c r="O46" s="11"/>
      <c r="P46" s="11"/>
    </row>
    <row r="47" spans="1:16" x14ac:dyDescent="0.2">
      <c r="A47" s="11"/>
      <c r="B47" s="15"/>
      <c r="C47" s="15"/>
      <c r="D47" s="15"/>
      <c r="E47" s="15"/>
      <c r="F47" s="15"/>
      <c r="G47" s="15"/>
      <c r="H47" s="15"/>
      <c r="I47" s="15"/>
      <c r="J47" s="15"/>
      <c r="K47" s="15"/>
      <c r="L47" s="15"/>
      <c r="M47" s="15"/>
      <c r="N47" s="15"/>
      <c r="O47" s="11"/>
      <c r="P47" s="11"/>
    </row>
    <row r="48" spans="1:16" x14ac:dyDescent="0.2">
      <c r="A48" s="11"/>
      <c r="B48" s="15"/>
      <c r="C48" s="15"/>
      <c r="D48" s="19"/>
      <c r="E48" s="15"/>
      <c r="F48" s="15"/>
      <c r="G48" s="15"/>
      <c r="H48" s="15"/>
      <c r="I48" s="15"/>
      <c r="J48" s="15"/>
      <c r="K48" s="15"/>
      <c r="L48" s="15"/>
      <c r="M48" s="15"/>
      <c r="N48" s="15"/>
      <c r="O48" s="11"/>
      <c r="P48" s="11"/>
    </row>
    <row r="49" spans="1:16" x14ac:dyDescent="0.2">
      <c r="A49" s="11"/>
      <c r="B49" s="15"/>
      <c r="C49" s="15"/>
      <c r="D49" s="15"/>
      <c r="E49" s="15"/>
      <c r="F49" s="15"/>
      <c r="G49" s="15"/>
      <c r="H49" s="15"/>
      <c r="I49" s="15"/>
      <c r="J49" s="15"/>
      <c r="K49" s="15"/>
      <c r="L49" s="15"/>
      <c r="M49" s="15"/>
      <c r="N49" s="15"/>
      <c r="O49" s="11"/>
      <c r="P49" s="11"/>
    </row>
    <row r="50" spans="1:16" ht="18" x14ac:dyDescent="0.25">
      <c r="A50" s="11"/>
      <c r="B50" s="15"/>
      <c r="C50" s="14"/>
      <c r="D50" s="15"/>
      <c r="E50" s="15"/>
      <c r="F50" s="15"/>
      <c r="G50" s="15"/>
      <c r="H50" s="15"/>
      <c r="I50" s="15"/>
      <c r="J50" s="15"/>
      <c r="K50" s="15"/>
      <c r="L50" s="15"/>
      <c r="M50" s="15"/>
      <c r="N50" s="15"/>
      <c r="O50" s="11"/>
      <c r="P50" s="11"/>
    </row>
    <row r="51" spans="1:16" x14ac:dyDescent="0.2">
      <c r="A51" s="11"/>
      <c r="B51" s="15"/>
      <c r="C51" s="15"/>
      <c r="D51" s="15"/>
      <c r="E51" s="15"/>
      <c r="F51" s="15"/>
      <c r="G51" s="15"/>
      <c r="H51" s="15"/>
      <c r="I51" s="15"/>
      <c r="J51" s="15"/>
      <c r="K51" s="15"/>
      <c r="L51" s="15"/>
      <c r="M51" s="15"/>
      <c r="N51" s="15"/>
      <c r="O51" s="11"/>
      <c r="P51" s="11"/>
    </row>
    <row r="52" spans="1:16" x14ac:dyDescent="0.2">
      <c r="A52" s="11"/>
      <c r="B52" s="15"/>
      <c r="C52" s="15"/>
      <c r="D52" s="15"/>
      <c r="E52" s="15"/>
      <c r="F52" s="15"/>
      <c r="G52" s="15"/>
      <c r="H52" s="15"/>
      <c r="I52" s="15"/>
      <c r="J52" s="15"/>
      <c r="K52" s="15"/>
      <c r="L52" s="15"/>
      <c r="M52" s="15"/>
      <c r="N52" s="15"/>
      <c r="O52" s="11"/>
      <c r="P52" s="11"/>
    </row>
    <row r="53" spans="1:16" x14ac:dyDescent="0.2">
      <c r="A53" s="11"/>
      <c r="B53" s="20"/>
      <c r="C53" s="20"/>
      <c r="D53" s="20"/>
      <c r="E53" s="20"/>
      <c r="F53" s="20"/>
      <c r="G53" s="20"/>
      <c r="H53" s="20"/>
      <c r="I53" s="20"/>
      <c r="J53" s="20"/>
      <c r="K53" s="20"/>
      <c r="L53" s="20"/>
      <c r="M53" s="20"/>
      <c r="N53" s="20"/>
      <c r="O53" s="11"/>
      <c r="P53" s="11"/>
    </row>
    <row r="54" spans="1:16" x14ac:dyDescent="0.2">
      <c r="A54" s="11"/>
      <c r="B54" s="11"/>
      <c r="C54" s="11"/>
      <c r="D54" s="11"/>
      <c r="E54" s="11"/>
      <c r="F54" s="11"/>
      <c r="G54" s="11"/>
      <c r="H54" s="11"/>
      <c r="I54" s="11"/>
      <c r="J54" s="11"/>
      <c r="K54" s="11"/>
      <c r="L54" s="11"/>
      <c r="M54" s="11"/>
      <c r="N54" s="11"/>
      <c r="O54" s="11"/>
      <c r="P54" s="11"/>
    </row>
    <row r="55" spans="1:16" x14ac:dyDescent="0.2">
      <c r="A55" s="11"/>
      <c r="B55" s="11"/>
      <c r="C55" s="11"/>
      <c r="D55" s="11"/>
      <c r="E55" s="11"/>
      <c r="F55" s="11"/>
      <c r="G55" s="11"/>
      <c r="H55" s="11"/>
      <c r="I55" s="11"/>
      <c r="J55" s="11"/>
      <c r="K55" s="11"/>
      <c r="L55" s="11"/>
      <c r="M55" s="11"/>
      <c r="N55" s="11"/>
      <c r="O55" s="11"/>
      <c r="P55" s="11"/>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Start</vt:lpstr>
      <vt:lpstr>Summary</vt:lpstr>
      <vt:lpstr>RegionTemp</vt:lpstr>
      <vt:lpstr>Map</vt:lpstr>
      <vt:lpstr>NewData</vt:lpstr>
      <vt:lpstr>Instructions</vt:lpstr>
      <vt:lpstr>MRegion</vt:lpstr>
    </vt:vector>
  </TitlesOfParts>
  <Company>www.xelplus.com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Leila Gharani</dc:creator>
  <dc:description>Example tool made to demonstrate some key VBA concepts from my online VBA course on Udemy.com</dc:description>
  <cp:lastModifiedBy>HP</cp:lastModifiedBy>
  <dcterms:created xsi:type="dcterms:W3CDTF">2017-10-02T07:41:32Z</dcterms:created>
  <dcterms:modified xsi:type="dcterms:W3CDTF">2021-12-22T17:51:34Z</dcterms:modified>
</cp:coreProperties>
</file>